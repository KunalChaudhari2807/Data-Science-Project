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pivotTables/pivotTable9.xml" ContentType="application/vnd.openxmlformats-officedocument.spreadsheetml.pivotTable+xml"/>
  <Override PartName="/xl/drawings/drawing9.xml" ContentType="application/vnd.openxmlformats-officedocument.drawing+xml"/>
  <Override PartName="/xl/slicers/slicer9.xml" ContentType="application/vnd.ms-excel.slicer+xml"/>
  <Override PartName="/xl/pivotTables/pivotTable10.xml" ContentType="application/vnd.openxmlformats-officedocument.spreadsheetml.pivotTable+xml"/>
  <Override PartName="/xl/drawings/drawing10.xml" ContentType="application/vnd.openxmlformats-officedocument.drawing+xml"/>
  <Override PartName="/xl/slicers/slicer10.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Kunal\Downloads\"/>
    </mc:Choice>
  </mc:AlternateContent>
  <xr:revisionPtr revIDLastSave="0" documentId="8_{04C62935-ED8B-41DF-91D4-02BBAF4CA61A}" xr6:coauthVersionLast="47" xr6:coauthVersionMax="47" xr10:uidLastSave="{00000000-0000-0000-0000-000000000000}"/>
  <bookViews>
    <workbookView xWindow="-108" yWindow="-108" windowWidth="23256" windowHeight="12576" tabRatio="500" activeTab="1" xr2:uid="{00000000-000D-0000-FFFF-FFFF00000000}"/>
  </bookViews>
  <sheets>
    <sheet name="Festival Bike Sales" sheetId="2" r:id="rId1"/>
    <sheet name="Dashboard" sheetId="29" r:id="rId2"/>
    <sheet name="Sales By Festival" sheetId="6" r:id="rId3"/>
    <sheet name="Revenue By Branch" sheetId="7" r:id="rId4"/>
    <sheet name="Delivery By Sales" sheetId="10" r:id="rId5"/>
    <sheet name="Sales Shear By Bike Category" sheetId="11" r:id="rId6"/>
    <sheet name="Revenue By Sales" sheetId="13" r:id="rId7"/>
    <sheet name="Sheet4" sheetId="26" r:id="rId8"/>
    <sheet name="Sheet1" sheetId="23" r:id="rId9"/>
    <sheet name="Total Buyers Bike Model" sheetId="20" r:id="rId10"/>
    <sheet name="Sheet16" sheetId="21" r:id="rId11"/>
    <sheet name="Exchange Bike Using Bike Model" sheetId="22" r:id="rId12"/>
  </sheets>
  <definedNames>
    <definedName name="_xlchart.v1.0" hidden="1">Sheet4!$A$4:$A$10</definedName>
    <definedName name="_xlchart.v1.1" hidden="1">Sheet4!$B$3</definedName>
    <definedName name="_xlchart.v1.2" hidden="1">Sheet4!$B$4:$B$10</definedName>
    <definedName name="_xlchart.v1.3" hidden="1">Sheet4!$A$4:$A$10</definedName>
    <definedName name="_xlchart.v1.4" hidden="1">Sheet4!$B$3</definedName>
    <definedName name="_xlchart.v1.5" hidden="1">Sheet4!$B$4:$B$10</definedName>
    <definedName name="AA">#REF!</definedName>
    <definedName name="Slicer_Bike_Model">#N/A</definedName>
    <definedName name="Slicer_Bike_Model1">#N/A</definedName>
    <definedName name="Slicer_Bike_Model2">#N/A</definedName>
    <definedName name="Slicer_Branch">#N/A</definedName>
    <definedName name="Slicer_Category">#N/A</definedName>
    <definedName name="Slicer_Cheque">#N/A</definedName>
    <definedName name="Slicer_Credit_Card">#N/A</definedName>
    <definedName name="Slicer_Delivery_Status">#N/A</definedName>
    <definedName name="Slicer_Festival">#N/A</definedName>
    <definedName name="Slicer_Festival1">#N/A</definedName>
    <definedName name="Slicer_No._of_Sales1">#N/A</definedName>
    <definedName name="Slicer_Price_Range">#N/A</definedName>
    <definedName name="Slicer_Price_Range3">#N/A</definedName>
    <definedName name="Slicer_Total_Buyers">#N/A</definedName>
    <definedName name="Slicer_Total_Revenue">#N/A</definedName>
    <definedName name="Slicer_Total_Revenue2">#N/A</definedName>
    <definedName name="Slicer_UPI">#N/A</definedName>
    <definedName name="Slicer_With_Exchange__Yes">#N/A</definedName>
    <definedName name="Slicer_With_Insurance__Yes">#N/A</definedName>
    <definedName name="Slicer_Without_Exchange__No">#N/A</definedName>
    <definedName name="Slicer_Without_Insurance__No">#N/A</definedName>
    <definedName name="ZA">#REF!</definedName>
  </definedNames>
  <calcPr calcId="191029"/>
  <pivotCaches>
    <pivotCache cacheId="20" r:id="rId13"/>
    <pivotCache cacheId="21" r:id="rId14"/>
    <pivotCache cacheId="22" r:id="rId15"/>
    <pivotCache cacheId="23" r:id="rId16"/>
    <pivotCache cacheId="24" r:id="rId17"/>
    <pivotCache cacheId="25" r:id="rId18"/>
    <pivotCache cacheId="26" r:id="rId19"/>
    <pivotCache cacheId="27" r:id="rId20"/>
    <pivotCache cacheId="28" r:id="rId21"/>
    <pivotCache cacheId="29"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001" i="2" l="1"/>
  <c r="P1001" i="2" s="1"/>
  <c r="O1000" i="2"/>
  <c r="P1000" i="2" s="1"/>
  <c r="O999" i="2"/>
  <c r="P999" i="2" s="1"/>
  <c r="O998" i="2"/>
  <c r="P998" i="2" s="1"/>
  <c r="O997" i="2"/>
  <c r="P997" i="2" s="1"/>
  <c r="O996" i="2"/>
  <c r="P996" i="2" s="1"/>
  <c r="O995" i="2"/>
  <c r="P995" i="2" s="1"/>
  <c r="O994" i="2"/>
  <c r="P994" i="2" s="1"/>
  <c r="O993" i="2"/>
  <c r="P993" i="2" s="1"/>
  <c r="O992" i="2"/>
  <c r="P992" i="2" s="1"/>
  <c r="O991" i="2"/>
  <c r="P991" i="2" s="1"/>
  <c r="O990" i="2"/>
  <c r="P990" i="2" s="1"/>
  <c r="O989" i="2"/>
  <c r="P989" i="2" s="1"/>
  <c r="O988" i="2"/>
  <c r="P988" i="2" s="1"/>
  <c r="O987" i="2"/>
  <c r="P987" i="2" s="1"/>
  <c r="O986" i="2"/>
  <c r="P986" i="2" s="1"/>
  <c r="O985" i="2"/>
  <c r="P985" i="2" s="1"/>
  <c r="O984" i="2"/>
  <c r="P984" i="2" s="1"/>
  <c r="O983" i="2"/>
  <c r="P983" i="2" s="1"/>
  <c r="O982" i="2"/>
  <c r="P982" i="2" s="1"/>
  <c r="O981" i="2"/>
  <c r="P981" i="2" s="1"/>
  <c r="O980" i="2"/>
  <c r="P980" i="2" s="1"/>
  <c r="O979" i="2"/>
  <c r="P979" i="2" s="1"/>
  <c r="O978" i="2"/>
  <c r="P978" i="2" s="1"/>
  <c r="O977" i="2"/>
  <c r="P977" i="2" s="1"/>
  <c r="O976" i="2"/>
  <c r="P976" i="2" s="1"/>
  <c r="O975" i="2"/>
  <c r="P975" i="2" s="1"/>
  <c r="O974" i="2"/>
  <c r="P974" i="2" s="1"/>
  <c r="O973" i="2"/>
  <c r="P973" i="2" s="1"/>
  <c r="O972" i="2"/>
  <c r="P972" i="2" s="1"/>
  <c r="O971" i="2"/>
  <c r="P971" i="2" s="1"/>
  <c r="O970" i="2"/>
  <c r="P970" i="2" s="1"/>
  <c r="O969" i="2"/>
  <c r="P969" i="2" s="1"/>
  <c r="O968" i="2"/>
  <c r="P968" i="2" s="1"/>
  <c r="O967" i="2"/>
  <c r="P967" i="2" s="1"/>
  <c r="O966" i="2"/>
  <c r="P966" i="2" s="1"/>
  <c r="O965" i="2"/>
  <c r="P965" i="2" s="1"/>
  <c r="O964" i="2"/>
  <c r="P964" i="2" s="1"/>
  <c r="O963" i="2"/>
  <c r="P963" i="2" s="1"/>
  <c r="O962" i="2"/>
  <c r="P962" i="2" s="1"/>
  <c r="O961" i="2"/>
  <c r="P961" i="2" s="1"/>
  <c r="O960" i="2"/>
  <c r="P960" i="2" s="1"/>
  <c r="O959" i="2"/>
  <c r="P959" i="2" s="1"/>
  <c r="O958" i="2"/>
  <c r="P958" i="2" s="1"/>
  <c r="O957" i="2"/>
  <c r="P957" i="2" s="1"/>
  <c r="O956" i="2"/>
  <c r="P956" i="2" s="1"/>
  <c r="O955" i="2"/>
  <c r="P955" i="2" s="1"/>
  <c r="O954" i="2"/>
  <c r="P954" i="2" s="1"/>
  <c r="O953" i="2"/>
  <c r="P953" i="2" s="1"/>
  <c r="O952" i="2"/>
  <c r="P952" i="2" s="1"/>
  <c r="O951" i="2"/>
  <c r="P951" i="2" s="1"/>
  <c r="O950" i="2"/>
  <c r="P950" i="2" s="1"/>
  <c r="O949" i="2"/>
  <c r="P949" i="2" s="1"/>
  <c r="O948" i="2"/>
  <c r="P948" i="2" s="1"/>
  <c r="O947" i="2"/>
  <c r="P947" i="2" s="1"/>
  <c r="O946" i="2"/>
  <c r="P946" i="2" s="1"/>
  <c r="O945" i="2"/>
  <c r="P945" i="2" s="1"/>
  <c r="O944" i="2"/>
  <c r="P944" i="2" s="1"/>
  <c r="O943" i="2"/>
  <c r="P943" i="2" s="1"/>
  <c r="O942" i="2"/>
  <c r="P942" i="2" s="1"/>
  <c r="O941" i="2"/>
  <c r="P941" i="2" s="1"/>
  <c r="O940" i="2"/>
  <c r="P940" i="2" s="1"/>
  <c r="O939" i="2"/>
  <c r="P939" i="2" s="1"/>
  <c r="O938" i="2"/>
  <c r="P938" i="2" s="1"/>
  <c r="O937" i="2"/>
  <c r="P937" i="2" s="1"/>
  <c r="O936" i="2"/>
  <c r="P936" i="2" s="1"/>
  <c r="O935" i="2"/>
  <c r="P935" i="2" s="1"/>
  <c r="O934" i="2"/>
  <c r="P934" i="2" s="1"/>
  <c r="O933" i="2"/>
  <c r="P933" i="2" s="1"/>
  <c r="O932" i="2"/>
  <c r="P932" i="2" s="1"/>
  <c r="O931" i="2"/>
  <c r="P931" i="2" s="1"/>
  <c r="O930" i="2"/>
  <c r="P930" i="2" s="1"/>
  <c r="O929" i="2"/>
  <c r="P929" i="2" s="1"/>
  <c r="O928" i="2"/>
  <c r="P928" i="2" s="1"/>
  <c r="O927" i="2"/>
  <c r="P927" i="2" s="1"/>
  <c r="O926" i="2"/>
  <c r="P926" i="2" s="1"/>
  <c r="O925" i="2"/>
  <c r="P925" i="2" s="1"/>
  <c r="O924" i="2"/>
  <c r="P924" i="2" s="1"/>
  <c r="O923" i="2"/>
  <c r="P923" i="2" s="1"/>
  <c r="O922" i="2"/>
  <c r="P922" i="2" s="1"/>
  <c r="O921" i="2"/>
  <c r="P921" i="2" s="1"/>
  <c r="O920" i="2"/>
  <c r="P920" i="2" s="1"/>
  <c r="O919" i="2"/>
  <c r="P919" i="2" s="1"/>
  <c r="O918" i="2"/>
  <c r="P918" i="2" s="1"/>
  <c r="O917" i="2"/>
  <c r="P917" i="2" s="1"/>
  <c r="O916" i="2"/>
  <c r="P916" i="2" s="1"/>
  <c r="O915" i="2"/>
  <c r="P915" i="2" s="1"/>
  <c r="O914" i="2"/>
  <c r="P914" i="2" s="1"/>
  <c r="O913" i="2"/>
  <c r="P913" i="2" s="1"/>
  <c r="O912" i="2"/>
  <c r="P912" i="2" s="1"/>
  <c r="O911" i="2"/>
  <c r="P911" i="2" s="1"/>
  <c r="O910" i="2"/>
  <c r="P910" i="2" s="1"/>
  <c r="O909" i="2"/>
  <c r="P909" i="2" s="1"/>
  <c r="O908" i="2"/>
  <c r="P908" i="2" s="1"/>
  <c r="O907" i="2"/>
  <c r="P907" i="2" s="1"/>
  <c r="O906" i="2"/>
  <c r="P906" i="2" s="1"/>
  <c r="O905" i="2"/>
  <c r="P905" i="2" s="1"/>
  <c r="O904" i="2"/>
  <c r="P904" i="2" s="1"/>
  <c r="O903" i="2"/>
  <c r="P903" i="2" s="1"/>
  <c r="O902" i="2"/>
  <c r="P902" i="2" s="1"/>
  <c r="O901" i="2"/>
  <c r="P901" i="2" s="1"/>
  <c r="O900" i="2"/>
  <c r="P900" i="2" s="1"/>
  <c r="O899" i="2"/>
  <c r="P899" i="2" s="1"/>
  <c r="O898" i="2"/>
  <c r="P898" i="2" s="1"/>
  <c r="O897" i="2"/>
  <c r="P897" i="2" s="1"/>
  <c r="O896" i="2"/>
  <c r="P896" i="2" s="1"/>
  <c r="O895" i="2"/>
  <c r="P895" i="2" s="1"/>
  <c r="O894" i="2"/>
  <c r="P894" i="2" s="1"/>
  <c r="O893" i="2"/>
  <c r="P893" i="2" s="1"/>
  <c r="O892" i="2"/>
  <c r="P892" i="2" s="1"/>
  <c r="O891" i="2"/>
  <c r="P891" i="2" s="1"/>
  <c r="O890" i="2"/>
  <c r="P890" i="2" s="1"/>
  <c r="O889" i="2"/>
  <c r="P889" i="2" s="1"/>
  <c r="O888" i="2"/>
  <c r="P888" i="2" s="1"/>
  <c r="O887" i="2"/>
  <c r="P887" i="2" s="1"/>
  <c r="O886" i="2"/>
  <c r="P886" i="2" s="1"/>
  <c r="O885" i="2"/>
  <c r="P885" i="2" s="1"/>
  <c r="O884" i="2"/>
  <c r="P884" i="2" s="1"/>
  <c r="O883" i="2"/>
  <c r="P883" i="2" s="1"/>
  <c r="O882" i="2"/>
  <c r="P882" i="2" s="1"/>
  <c r="O881" i="2"/>
  <c r="P881" i="2" s="1"/>
  <c r="O880" i="2"/>
  <c r="P880" i="2" s="1"/>
  <c r="O879" i="2"/>
  <c r="P879" i="2" s="1"/>
  <c r="O878" i="2"/>
  <c r="P878" i="2" s="1"/>
  <c r="O877" i="2"/>
  <c r="P877" i="2" s="1"/>
  <c r="O876" i="2"/>
  <c r="P876" i="2" s="1"/>
  <c r="O875" i="2"/>
  <c r="P875" i="2" s="1"/>
  <c r="O874" i="2"/>
  <c r="P874" i="2" s="1"/>
  <c r="O873" i="2"/>
  <c r="P873" i="2" s="1"/>
  <c r="O872" i="2"/>
  <c r="P872" i="2" s="1"/>
  <c r="O871" i="2"/>
  <c r="P871" i="2" s="1"/>
  <c r="O870" i="2"/>
  <c r="P870" i="2" s="1"/>
  <c r="O869" i="2"/>
  <c r="P869" i="2" s="1"/>
  <c r="O868" i="2"/>
  <c r="P868" i="2" s="1"/>
  <c r="O867" i="2"/>
  <c r="P867" i="2" s="1"/>
  <c r="O866" i="2"/>
  <c r="P866" i="2" s="1"/>
  <c r="O865" i="2"/>
  <c r="P865" i="2" s="1"/>
  <c r="O864" i="2"/>
  <c r="P864" i="2" s="1"/>
  <c r="O863" i="2"/>
  <c r="P863" i="2" s="1"/>
  <c r="O862" i="2"/>
  <c r="P862" i="2" s="1"/>
  <c r="O861" i="2"/>
  <c r="P861" i="2" s="1"/>
  <c r="O860" i="2"/>
  <c r="P860" i="2" s="1"/>
  <c r="O859" i="2"/>
  <c r="P859" i="2" s="1"/>
  <c r="O858" i="2"/>
  <c r="P858" i="2" s="1"/>
  <c r="O857" i="2"/>
  <c r="P857" i="2" s="1"/>
  <c r="O856" i="2"/>
  <c r="P856" i="2" s="1"/>
  <c r="O855" i="2"/>
  <c r="P855" i="2" s="1"/>
  <c r="O854" i="2"/>
  <c r="P854" i="2" s="1"/>
  <c r="O853" i="2"/>
  <c r="P853" i="2" s="1"/>
  <c r="O852" i="2"/>
  <c r="P852" i="2" s="1"/>
  <c r="O851" i="2"/>
  <c r="P851" i="2" s="1"/>
  <c r="O850" i="2"/>
  <c r="P850" i="2" s="1"/>
  <c r="O849" i="2"/>
  <c r="P849" i="2" s="1"/>
  <c r="O848" i="2"/>
  <c r="P848" i="2" s="1"/>
  <c r="O847" i="2"/>
  <c r="P847" i="2" s="1"/>
  <c r="O846" i="2"/>
  <c r="P846" i="2" s="1"/>
  <c r="O845" i="2"/>
  <c r="P845" i="2" s="1"/>
  <c r="O844" i="2"/>
  <c r="P844" i="2" s="1"/>
  <c r="O843" i="2"/>
  <c r="P843" i="2" s="1"/>
  <c r="O842" i="2"/>
  <c r="P842" i="2" s="1"/>
  <c r="O841" i="2"/>
  <c r="P841" i="2" s="1"/>
  <c r="O840" i="2"/>
  <c r="P840" i="2" s="1"/>
  <c r="O839" i="2"/>
  <c r="P839" i="2" s="1"/>
  <c r="O838" i="2"/>
  <c r="P838" i="2" s="1"/>
  <c r="O837" i="2"/>
  <c r="P837" i="2" s="1"/>
  <c r="O836" i="2"/>
  <c r="P836" i="2" s="1"/>
  <c r="O835" i="2"/>
  <c r="P835" i="2" s="1"/>
  <c r="O834" i="2"/>
  <c r="P834" i="2" s="1"/>
  <c r="O833" i="2"/>
  <c r="P833" i="2" s="1"/>
  <c r="O832" i="2"/>
  <c r="P832" i="2" s="1"/>
  <c r="O831" i="2"/>
  <c r="P831" i="2" s="1"/>
  <c r="O830" i="2"/>
  <c r="P830" i="2" s="1"/>
  <c r="O829" i="2"/>
  <c r="P829" i="2" s="1"/>
  <c r="O828" i="2"/>
  <c r="P828" i="2" s="1"/>
  <c r="O827" i="2"/>
  <c r="P827" i="2" s="1"/>
  <c r="O826" i="2"/>
  <c r="P826" i="2" s="1"/>
  <c r="O825" i="2"/>
  <c r="P825" i="2" s="1"/>
  <c r="O824" i="2"/>
  <c r="P824" i="2" s="1"/>
  <c r="O823" i="2"/>
  <c r="P823" i="2" s="1"/>
  <c r="O822" i="2"/>
  <c r="P822" i="2" s="1"/>
  <c r="O821" i="2"/>
  <c r="P821" i="2" s="1"/>
  <c r="O820" i="2"/>
  <c r="P820" i="2" s="1"/>
  <c r="O819" i="2"/>
  <c r="P819" i="2" s="1"/>
  <c r="O818" i="2"/>
  <c r="P818" i="2" s="1"/>
  <c r="O817" i="2"/>
  <c r="P817" i="2" s="1"/>
  <c r="O816" i="2"/>
  <c r="P816" i="2" s="1"/>
  <c r="O815" i="2"/>
  <c r="P815" i="2" s="1"/>
  <c r="O814" i="2"/>
  <c r="P814" i="2" s="1"/>
  <c r="O813" i="2"/>
  <c r="P813" i="2" s="1"/>
  <c r="O812" i="2"/>
  <c r="P812" i="2" s="1"/>
  <c r="O811" i="2"/>
  <c r="P811" i="2" s="1"/>
  <c r="O810" i="2"/>
  <c r="P810" i="2" s="1"/>
  <c r="O809" i="2"/>
  <c r="P809" i="2" s="1"/>
  <c r="O808" i="2"/>
  <c r="P808" i="2" s="1"/>
  <c r="O807" i="2"/>
  <c r="P807" i="2" s="1"/>
  <c r="O806" i="2"/>
  <c r="P806" i="2" s="1"/>
  <c r="O805" i="2"/>
  <c r="P805" i="2" s="1"/>
  <c r="O804" i="2"/>
  <c r="P804" i="2" s="1"/>
  <c r="O803" i="2"/>
  <c r="P803" i="2" s="1"/>
  <c r="O802" i="2"/>
  <c r="P802" i="2" s="1"/>
  <c r="O801" i="2"/>
  <c r="P801" i="2" s="1"/>
  <c r="O800" i="2"/>
  <c r="P800" i="2" s="1"/>
  <c r="O799" i="2"/>
  <c r="P799" i="2" s="1"/>
  <c r="O798" i="2"/>
  <c r="P798" i="2" s="1"/>
  <c r="O797" i="2"/>
  <c r="P797" i="2" s="1"/>
  <c r="O796" i="2"/>
  <c r="P796" i="2" s="1"/>
  <c r="O795" i="2"/>
  <c r="P795" i="2" s="1"/>
  <c r="O794" i="2"/>
  <c r="P794" i="2" s="1"/>
  <c r="O793" i="2"/>
  <c r="P793" i="2" s="1"/>
  <c r="O792" i="2"/>
  <c r="P792" i="2" s="1"/>
  <c r="O791" i="2"/>
  <c r="P791" i="2" s="1"/>
  <c r="O790" i="2"/>
  <c r="P790" i="2" s="1"/>
  <c r="O789" i="2"/>
  <c r="P789" i="2" s="1"/>
  <c r="O788" i="2"/>
  <c r="P788" i="2" s="1"/>
  <c r="O787" i="2"/>
  <c r="P787" i="2" s="1"/>
  <c r="O786" i="2"/>
  <c r="P786" i="2" s="1"/>
  <c r="O785" i="2"/>
  <c r="P785" i="2" s="1"/>
  <c r="O784" i="2"/>
  <c r="P784" i="2" s="1"/>
  <c r="O783" i="2"/>
  <c r="P783" i="2" s="1"/>
  <c r="O782" i="2"/>
  <c r="P782" i="2" s="1"/>
  <c r="O781" i="2"/>
  <c r="P781" i="2" s="1"/>
  <c r="O780" i="2"/>
  <c r="P780" i="2" s="1"/>
  <c r="O779" i="2"/>
  <c r="P779" i="2" s="1"/>
  <c r="O778" i="2"/>
  <c r="P778" i="2" s="1"/>
  <c r="O777" i="2"/>
  <c r="P777" i="2" s="1"/>
  <c r="O776" i="2"/>
  <c r="P776" i="2" s="1"/>
  <c r="O775" i="2"/>
  <c r="P775" i="2" s="1"/>
  <c r="O774" i="2"/>
  <c r="P774" i="2" s="1"/>
  <c r="O773" i="2"/>
  <c r="P773" i="2" s="1"/>
  <c r="O772" i="2"/>
  <c r="P772" i="2" s="1"/>
  <c r="O771" i="2"/>
  <c r="P771" i="2" s="1"/>
  <c r="O770" i="2"/>
  <c r="P770" i="2" s="1"/>
  <c r="O769" i="2"/>
  <c r="P769" i="2" s="1"/>
  <c r="O768" i="2"/>
  <c r="P768" i="2" s="1"/>
  <c r="O767" i="2"/>
  <c r="P767" i="2" s="1"/>
  <c r="O766" i="2"/>
  <c r="P766" i="2" s="1"/>
  <c r="O765" i="2"/>
  <c r="P765" i="2" s="1"/>
  <c r="O764" i="2"/>
  <c r="P764" i="2" s="1"/>
  <c r="O763" i="2"/>
  <c r="P763" i="2" s="1"/>
  <c r="O762" i="2"/>
  <c r="P762" i="2" s="1"/>
  <c r="O761" i="2"/>
  <c r="P761" i="2" s="1"/>
  <c r="O760" i="2"/>
  <c r="P760" i="2" s="1"/>
  <c r="O759" i="2"/>
  <c r="P759" i="2" s="1"/>
  <c r="O758" i="2"/>
  <c r="P758" i="2" s="1"/>
  <c r="O757" i="2"/>
  <c r="P757" i="2" s="1"/>
  <c r="O756" i="2"/>
  <c r="P756" i="2" s="1"/>
  <c r="O755" i="2"/>
  <c r="P755" i="2" s="1"/>
  <c r="O754" i="2"/>
  <c r="P754" i="2" s="1"/>
  <c r="O753" i="2"/>
  <c r="P753" i="2" s="1"/>
  <c r="O752" i="2"/>
  <c r="P752" i="2" s="1"/>
  <c r="O751" i="2"/>
  <c r="P751" i="2" s="1"/>
  <c r="O750" i="2"/>
  <c r="P750" i="2" s="1"/>
  <c r="O749" i="2"/>
  <c r="P749" i="2" s="1"/>
  <c r="O748" i="2"/>
  <c r="P748" i="2" s="1"/>
  <c r="O747" i="2"/>
  <c r="P747" i="2" s="1"/>
  <c r="O746" i="2"/>
  <c r="P746" i="2" s="1"/>
  <c r="O745" i="2"/>
  <c r="P745" i="2" s="1"/>
  <c r="O744" i="2"/>
  <c r="P744" i="2" s="1"/>
  <c r="O743" i="2"/>
  <c r="P743" i="2" s="1"/>
  <c r="O742" i="2"/>
  <c r="P742" i="2" s="1"/>
  <c r="O741" i="2"/>
  <c r="P741" i="2" s="1"/>
  <c r="O740" i="2"/>
  <c r="P740" i="2" s="1"/>
  <c r="O739" i="2"/>
  <c r="P739" i="2" s="1"/>
  <c r="O738" i="2"/>
  <c r="P738" i="2" s="1"/>
  <c r="O737" i="2"/>
  <c r="P737" i="2" s="1"/>
  <c r="O736" i="2"/>
  <c r="P736" i="2" s="1"/>
  <c r="O735" i="2"/>
  <c r="P735" i="2" s="1"/>
  <c r="O734" i="2"/>
  <c r="P734" i="2" s="1"/>
  <c r="O733" i="2"/>
  <c r="P733" i="2" s="1"/>
  <c r="O732" i="2"/>
  <c r="P732" i="2" s="1"/>
  <c r="O731" i="2"/>
  <c r="P731" i="2" s="1"/>
  <c r="O730" i="2"/>
  <c r="P730" i="2" s="1"/>
  <c r="O729" i="2"/>
  <c r="P729" i="2" s="1"/>
  <c r="O728" i="2"/>
  <c r="P728" i="2" s="1"/>
  <c r="O727" i="2"/>
  <c r="P727" i="2" s="1"/>
  <c r="O726" i="2"/>
  <c r="P726" i="2" s="1"/>
  <c r="O725" i="2"/>
  <c r="P725" i="2" s="1"/>
  <c r="O724" i="2"/>
  <c r="P724" i="2" s="1"/>
  <c r="O723" i="2"/>
  <c r="P723" i="2" s="1"/>
  <c r="O722" i="2"/>
  <c r="P722" i="2" s="1"/>
  <c r="O721" i="2"/>
  <c r="P721" i="2" s="1"/>
  <c r="O720" i="2"/>
  <c r="P720" i="2" s="1"/>
  <c r="O719" i="2"/>
  <c r="P719" i="2" s="1"/>
  <c r="O718" i="2"/>
  <c r="P718" i="2" s="1"/>
  <c r="O717" i="2"/>
  <c r="P717" i="2" s="1"/>
  <c r="O716" i="2"/>
  <c r="P716" i="2" s="1"/>
  <c r="O715" i="2"/>
  <c r="P715" i="2" s="1"/>
  <c r="O714" i="2"/>
  <c r="P714" i="2" s="1"/>
  <c r="O713" i="2"/>
  <c r="P713" i="2" s="1"/>
  <c r="O712" i="2"/>
  <c r="P712" i="2" s="1"/>
  <c r="O711" i="2"/>
  <c r="P711" i="2" s="1"/>
  <c r="O710" i="2"/>
  <c r="P710" i="2" s="1"/>
  <c r="O709" i="2"/>
  <c r="P709" i="2" s="1"/>
  <c r="O708" i="2"/>
  <c r="P708" i="2" s="1"/>
  <c r="O707" i="2"/>
  <c r="P707" i="2" s="1"/>
  <c r="O706" i="2"/>
  <c r="P706" i="2" s="1"/>
  <c r="O705" i="2"/>
  <c r="P705" i="2" s="1"/>
  <c r="O704" i="2"/>
  <c r="P704" i="2" s="1"/>
  <c r="O703" i="2"/>
  <c r="P703" i="2" s="1"/>
  <c r="O702" i="2"/>
  <c r="P702" i="2" s="1"/>
  <c r="O701" i="2"/>
  <c r="P701" i="2" s="1"/>
  <c r="O700" i="2"/>
  <c r="P700" i="2" s="1"/>
  <c r="O699" i="2"/>
  <c r="P699" i="2" s="1"/>
  <c r="O698" i="2"/>
  <c r="P698" i="2" s="1"/>
  <c r="O697" i="2"/>
  <c r="P697" i="2" s="1"/>
  <c r="O696" i="2"/>
  <c r="P696" i="2" s="1"/>
  <c r="O695" i="2"/>
  <c r="P695" i="2" s="1"/>
  <c r="O694" i="2"/>
  <c r="P694" i="2" s="1"/>
  <c r="O693" i="2"/>
  <c r="P693" i="2" s="1"/>
  <c r="O692" i="2"/>
  <c r="P692" i="2" s="1"/>
  <c r="O691" i="2"/>
  <c r="P691" i="2" s="1"/>
  <c r="O690" i="2"/>
  <c r="P690" i="2" s="1"/>
  <c r="O689" i="2"/>
  <c r="P689" i="2" s="1"/>
  <c r="O688" i="2"/>
  <c r="P688" i="2" s="1"/>
  <c r="O687" i="2"/>
  <c r="P687" i="2" s="1"/>
  <c r="O686" i="2"/>
  <c r="P686" i="2" s="1"/>
  <c r="O685" i="2"/>
  <c r="P685" i="2" s="1"/>
  <c r="O684" i="2"/>
  <c r="P684" i="2" s="1"/>
  <c r="O683" i="2"/>
  <c r="P683" i="2" s="1"/>
  <c r="O682" i="2"/>
  <c r="P682" i="2" s="1"/>
  <c r="O681" i="2"/>
  <c r="P681" i="2" s="1"/>
  <c r="O680" i="2"/>
  <c r="P680" i="2" s="1"/>
  <c r="O679" i="2"/>
  <c r="P679" i="2" s="1"/>
  <c r="O678" i="2"/>
  <c r="P678" i="2" s="1"/>
  <c r="O677" i="2"/>
  <c r="P677" i="2" s="1"/>
  <c r="O676" i="2"/>
  <c r="P676" i="2" s="1"/>
  <c r="O675" i="2"/>
  <c r="P675" i="2" s="1"/>
  <c r="O674" i="2"/>
  <c r="P674" i="2" s="1"/>
  <c r="O673" i="2"/>
  <c r="P673" i="2" s="1"/>
  <c r="O672" i="2"/>
  <c r="P672" i="2" s="1"/>
  <c r="O671" i="2"/>
  <c r="P671" i="2" s="1"/>
  <c r="O670" i="2"/>
  <c r="P670" i="2" s="1"/>
  <c r="O669" i="2"/>
  <c r="P669" i="2" s="1"/>
  <c r="O668" i="2"/>
  <c r="P668" i="2" s="1"/>
  <c r="O667" i="2"/>
  <c r="P667" i="2" s="1"/>
  <c r="O666" i="2"/>
  <c r="P666" i="2" s="1"/>
  <c r="O665" i="2"/>
  <c r="P665" i="2" s="1"/>
  <c r="O664" i="2"/>
  <c r="P664" i="2" s="1"/>
  <c r="O663" i="2"/>
  <c r="P663" i="2" s="1"/>
  <c r="O662" i="2"/>
  <c r="P662" i="2" s="1"/>
  <c r="O661" i="2"/>
  <c r="P661" i="2" s="1"/>
  <c r="O660" i="2"/>
  <c r="P660" i="2" s="1"/>
  <c r="O659" i="2"/>
  <c r="P659" i="2" s="1"/>
  <c r="O658" i="2"/>
  <c r="P658" i="2" s="1"/>
  <c r="O657" i="2"/>
  <c r="P657" i="2" s="1"/>
  <c r="O656" i="2"/>
  <c r="P656" i="2" s="1"/>
  <c r="O655" i="2"/>
  <c r="P655" i="2" s="1"/>
  <c r="O654" i="2"/>
  <c r="P654" i="2" s="1"/>
  <c r="O653" i="2"/>
  <c r="P653" i="2" s="1"/>
  <c r="O652" i="2"/>
  <c r="P652" i="2" s="1"/>
  <c r="O651" i="2"/>
  <c r="P651" i="2" s="1"/>
  <c r="O650" i="2"/>
  <c r="P650" i="2" s="1"/>
  <c r="O649" i="2"/>
  <c r="P649" i="2" s="1"/>
  <c r="O648" i="2"/>
  <c r="P648" i="2" s="1"/>
  <c r="O647" i="2"/>
  <c r="P647" i="2" s="1"/>
  <c r="O646" i="2"/>
  <c r="P646" i="2" s="1"/>
  <c r="O645" i="2"/>
  <c r="P645" i="2" s="1"/>
  <c r="O644" i="2"/>
  <c r="P644" i="2" s="1"/>
  <c r="O643" i="2"/>
  <c r="P643" i="2" s="1"/>
  <c r="O642" i="2"/>
  <c r="P642" i="2" s="1"/>
  <c r="O641" i="2"/>
  <c r="P641" i="2" s="1"/>
  <c r="O640" i="2"/>
  <c r="P640" i="2" s="1"/>
  <c r="O639" i="2"/>
  <c r="P639" i="2" s="1"/>
  <c r="O638" i="2"/>
  <c r="P638" i="2" s="1"/>
  <c r="O637" i="2"/>
  <c r="P637" i="2" s="1"/>
  <c r="O636" i="2"/>
  <c r="P636" i="2" s="1"/>
  <c r="O635" i="2"/>
  <c r="P635" i="2" s="1"/>
  <c r="O634" i="2"/>
  <c r="P634" i="2" s="1"/>
  <c r="O633" i="2"/>
  <c r="P633" i="2" s="1"/>
  <c r="O632" i="2"/>
  <c r="P632" i="2" s="1"/>
  <c r="O631" i="2"/>
  <c r="P631" i="2" s="1"/>
  <c r="O630" i="2"/>
  <c r="P630" i="2" s="1"/>
  <c r="O629" i="2"/>
  <c r="P629" i="2" s="1"/>
  <c r="O628" i="2"/>
  <c r="P628" i="2" s="1"/>
  <c r="O627" i="2"/>
  <c r="P627" i="2" s="1"/>
  <c r="O626" i="2"/>
  <c r="P626" i="2" s="1"/>
  <c r="O625" i="2"/>
  <c r="P625" i="2" s="1"/>
  <c r="O624" i="2"/>
  <c r="P624" i="2" s="1"/>
  <c r="O623" i="2"/>
  <c r="P623" i="2" s="1"/>
  <c r="O622" i="2"/>
  <c r="P622" i="2" s="1"/>
  <c r="O621" i="2"/>
  <c r="P621" i="2" s="1"/>
  <c r="O620" i="2"/>
  <c r="P620" i="2" s="1"/>
  <c r="O619" i="2"/>
  <c r="P619" i="2" s="1"/>
  <c r="O618" i="2"/>
  <c r="P618" i="2" s="1"/>
  <c r="O617" i="2"/>
  <c r="P617" i="2" s="1"/>
  <c r="O616" i="2"/>
  <c r="P616" i="2" s="1"/>
  <c r="O615" i="2"/>
  <c r="P615" i="2" s="1"/>
  <c r="O614" i="2"/>
  <c r="P614" i="2" s="1"/>
  <c r="O613" i="2"/>
  <c r="P613" i="2" s="1"/>
  <c r="O612" i="2"/>
  <c r="P612" i="2" s="1"/>
  <c r="O611" i="2"/>
  <c r="P611" i="2" s="1"/>
  <c r="O610" i="2"/>
  <c r="P610" i="2" s="1"/>
  <c r="O609" i="2"/>
  <c r="P609" i="2" s="1"/>
  <c r="O608" i="2"/>
  <c r="P608" i="2" s="1"/>
  <c r="O607" i="2"/>
  <c r="P607" i="2" s="1"/>
  <c r="O606" i="2"/>
  <c r="P606" i="2" s="1"/>
  <c r="O605" i="2"/>
  <c r="P605" i="2" s="1"/>
  <c r="O604" i="2"/>
  <c r="P604" i="2" s="1"/>
  <c r="O603" i="2"/>
  <c r="P603" i="2" s="1"/>
  <c r="O602" i="2"/>
  <c r="P602" i="2" s="1"/>
  <c r="O601" i="2"/>
  <c r="P601" i="2" s="1"/>
  <c r="O600" i="2"/>
  <c r="P600" i="2" s="1"/>
  <c r="O599" i="2"/>
  <c r="P599" i="2" s="1"/>
  <c r="O598" i="2"/>
  <c r="P598" i="2" s="1"/>
  <c r="O597" i="2"/>
  <c r="P597" i="2" s="1"/>
  <c r="O596" i="2"/>
  <c r="P596" i="2" s="1"/>
  <c r="O595" i="2"/>
  <c r="P595" i="2" s="1"/>
  <c r="O594" i="2"/>
  <c r="P594" i="2" s="1"/>
  <c r="O593" i="2"/>
  <c r="P593" i="2" s="1"/>
  <c r="O592" i="2"/>
  <c r="P592" i="2" s="1"/>
  <c r="O591" i="2"/>
  <c r="P591" i="2" s="1"/>
  <c r="O590" i="2"/>
  <c r="P590" i="2" s="1"/>
  <c r="O589" i="2"/>
  <c r="P589" i="2" s="1"/>
  <c r="O588" i="2"/>
  <c r="P588" i="2" s="1"/>
  <c r="O587" i="2"/>
  <c r="P587" i="2" s="1"/>
  <c r="O586" i="2"/>
  <c r="P586" i="2" s="1"/>
  <c r="O585" i="2"/>
  <c r="P585" i="2" s="1"/>
  <c r="O584" i="2"/>
  <c r="P584" i="2" s="1"/>
  <c r="O583" i="2"/>
  <c r="P583" i="2" s="1"/>
  <c r="O582" i="2"/>
  <c r="P582" i="2" s="1"/>
  <c r="O581" i="2"/>
  <c r="P581" i="2" s="1"/>
  <c r="O580" i="2"/>
  <c r="P580" i="2" s="1"/>
  <c r="O579" i="2"/>
  <c r="P579" i="2" s="1"/>
  <c r="O578" i="2"/>
  <c r="P578" i="2" s="1"/>
  <c r="O577" i="2"/>
  <c r="P577" i="2" s="1"/>
  <c r="O576" i="2"/>
  <c r="P576" i="2" s="1"/>
  <c r="O575" i="2"/>
  <c r="P575" i="2" s="1"/>
  <c r="O574" i="2"/>
  <c r="P574" i="2" s="1"/>
  <c r="O573" i="2"/>
  <c r="P573" i="2" s="1"/>
  <c r="O572" i="2"/>
  <c r="P572" i="2" s="1"/>
  <c r="O571" i="2"/>
  <c r="P571" i="2" s="1"/>
  <c r="O570" i="2"/>
  <c r="P570" i="2" s="1"/>
  <c r="O569" i="2"/>
  <c r="P569" i="2" s="1"/>
  <c r="O568" i="2"/>
  <c r="P568" i="2" s="1"/>
  <c r="O567" i="2"/>
  <c r="P567" i="2" s="1"/>
  <c r="O566" i="2"/>
  <c r="P566" i="2" s="1"/>
  <c r="O565" i="2"/>
  <c r="P565" i="2" s="1"/>
  <c r="O564" i="2"/>
  <c r="P564" i="2" s="1"/>
  <c r="O563" i="2"/>
  <c r="P563" i="2" s="1"/>
  <c r="O562" i="2"/>
  <c r="P562" i="2" s="1"/>
  <c r="O561" i="2"/>
  <c r="P561" i="2" s="1"/>
  <c r="O560" i="2"/>
  <c r="P560" i="2" s="1"/>
  <c r="O559" i="2"/>
  <c r="P559" i="2" s="1"/>
  <c r="O558" i="2"/>
  <c r="P558" i="2" s="1"/>
  <c r="O557" i="2"/>
  <c r="P557" i="2" s="1"/>
  <c r="O556" i="2"/>
  <c r="P556" i="2" s="1"/>
  <c r="O555" i="2"/>
  <c r="P555" i="2" s="1"/>
  <c r="O554" i="2"/>
  <c r="P554" i="2" s="1"/>
  <c r="O553" i="2"/>
  <c r="P553" i="2" s="1"/>
  <c r="O552" i="2"/>
  <c r="P552" i="2" s="1"/>
  <c r="O551" i="2"/>
  <c r="P551" i="2" s="1"/>
  <c r="O550" i="2"/>
  <c r="P550" i="2" s="1"/>
  <c r="O549" i="2"/>
  <c r="P549" i="2" s="1"/>
  <c r="O548" i="2"/>
  <c r="P548" i="2" s="1"/>
  <c r="O547" i="2"/>
  <c r="P547" i="2" s="1"/>
  <c r="O546" i="2"/>
  <c r="P546" i="2" s="1"/>
  <c r="O545" i="2"/>
  <c r="P545" i="2" s="1"/>
  <c r="O544" i="2"/>
  <c r="P544" i="2" s="1"/>
  <c r="O543" i="2"/>
  <c r="P543" i="2" s="1"/>
  <c r="O542" i="2"/>
  <c r="P542" i="2" s="1"/>
  <c r="O541" i="2"/>
  <c r="P541" i="2" s="1"/>
  <c r="O540" i="2"/>
  <c r="P540" i="2" s="1"/>
  <c r="O539" i="2"/>
  <c r="P539" i="2" s="1"/>
  <c r="O538" i="2"/>
  <c r="P538" i="2" s="1"/>
  <c r="O537" i="2"/>
  <c r="P537" i="2" s="1"/>
  <c r="O536" i="2"/>
  <c r="P536" i="2" s="1"/>
  <c r="O535" i="2"/>
  <c r="P535" i="2" s="1"/>
  <c r="O534" i="2"/>
  <c r="P534" i="2" s="1"/>
  <c r="O533" i="2"/>
  <c r="P533" i="2" s="1"/>
  <c r="O532" i="2"/>
  <c r="P532" i="2" s="1"/>
  <c r="O531" i="2"/>
  <c r="P531" i="2" s="1"/>
  <c r="O530" i="2"/>
  <c r="P530" i="2" s="1"/>
  <c r="O529" i="2"/>
  <c r="P529" i="2" s="1"/>
  <c r="O528" i="2"/>
  <c r="P528" i="2" s="1"/>
  <c r="O527" i="2"/>
  <c r="P527" i="2" s="1"/>
  <c r="O526" i="2"/>
  <c r="P526" i="2" s="1"/>
  <c r="O525" i="2"/>
  <c r="P525" i="2" s="1"/>
  <c r="O524" i="2"/>
  <c r="P524" i="2" s="1"/>
  <c r="O523" i="2"/>
  <c r="P523" i="2" s="1"/>
  <c r="O522" i="2"/>
  <c r="P522" i="2" s="1"/>
  <c r="O521" i="2"/>
  <c r="P521" i="2" s="1"/>
  <c r="O520" i="2"/>
  <c r="P520" i="2" s="1"/>
  <c r="O519" i="2"/>
  <c r="P519" i="2" s="1"/>
  <c r="O518" i="2"/>
  <c r="P518" i="2" s="1"/>
  <c r="O517" i="2"/>
  <c r="P517" i="2" s="1"/>
  <c r="O516" i="2"/>
  <c r="P516" i="2" s="1"/>
  <c r="O515" i="2"/>
  <c r="P515" i="2" s="1"/>
  <c r="O514" i="2"/>
  <c r="P514" i="2" s="1"/>
  <c r="O513" i="2"/>
  <c r="P513" i="2" s="1"/>
  <c r="O512" i="2"/>
  <c r="P512" i="2" s="1"/>
  <c r="O511" i="2"/>
  <c r="P511" i="2" s="1"/>
  <c r="O510" i="2"/>
  <c r="P510" i="2" s="1"/>
  <c r="O509" i="2"/>
  <c r="P509" i="2" s="1"/>
  <c r="O508" i="2"/>
  <c r="P508" i="2" s="1"/>
  <c r="O507" i="2"/>
  <c r="P507" i="2" s="1"/>
  <c r="O506" i="2"/>
  <c r="P506" i="2" s="1"/>
  <c r="O505" i="2"/>
  <c r="P505" i="2" s="1"/>
  <c r="O504" i="2"/>
  <c r="P504" i="2" s="1"/>
  <c r="O503" i="2"/>
  <c r="P503" i="2" s="1"/>
  <c r="O502" i="2"/>
  <c r="P502" i="2" s="1"/>
  <c r="O501" i="2"/>
  <c r="P501" i="2" s="1"/>
  <c r="O500" i="2"/>
  <c r="P500" i="2" s="1"/>
  <c r="O499" i="2"/>
  <c r="P499" i="2" s="1"/>
  <c r="O498" i="2"/>
  <c r="P498" i="2" s="1"/>
  <c r="O497" i="2"/>
  <c r="P497" i="2" s="1"/>
  <c r="O496" i="2"/>
  <c r="P496" i="2" s="1"/>
  <c r="O495" i="2"/>
  <c r="P495" i="2" s="1"/>
  <c r="O494" i="2"/>
  <c r="P494" i="2" s="1"/>
  <c r="O493" i="2"/>
  <c r="P493" i="2" s="1"/>
  <c r="O492" i="2"/>
  <c r="P492" i="2" s="1"/>
  <c r="O491" i="2"/>
  <c r="P491" i="2" s="1"/>
  <c r="O490" i="2"/>
  <c r="P490" i="2" s="1"/>
  <c r="O489" i="2"/>
  <c r="P489" i="2" s="1"/>
  <c r="O488" i="2"/>
  <c r="P488" i="2" s="1"/>
  <c r="O487" i="2"/>
  <c r="P487" i="2" s="1"/>
  <c r="O486" i="2"/>
  <c r="P486" i="2" s="1"/>
  <c r="O485" i="2"/>
  <c r="P485" i="2" s="1"/>
  <c r="O484" i="2"/>
  <c r="P484" i="2" s="1"/>
  <c r="O483" i="2"/>
  <c r="P483" i="2" s="1"/>
  <c r="O482" i="2"/>
  <c r="P482" i="2" s="1"/>
  <c r="O481" i="2"/>
  <c r="P481" i="2" s="1"/>
  <c r="O480" i="2"/>
  <c r="P480" i="2" s="1"/>
  <c r="O479" i="2"/>
  <c r="P479" i="2" s="1"/>
  <c r="O478" i="2"/>
  <c r="P478" i="2" s="1"/>
  <c r="O477" i="2"/>
  <c r="P477" i="2" s="1"/>
  <c r="O476" i="2"/>
  <c r="P476" i="2" s="1"/>
  <c r="O475" i="2"/>
  <c r="P475" i="2" s="1"/>
  <c r="O474" i="2"/>
  <c r="P474" i="2" s="1"/>
  <c r="O473" i="2"/>
  <c r="P473" i="2" s="1"/>
  <c r="O472" i="2"/>
  <c r="P472" i="2" s="1"/>
  <c r="O471" i="2"/>
  <c r="P471" i="2" s="1"/>
  <c r="O470" i="2"/>
  <c r="P470" i="2" s="1"/>
  <c r="O469" i="2"/>
  <c r="P469" i="2" s="1"/>
  <c r="O468" i="2"/>
  <c r="P468" i="2" s="1"/>
  <c r="O467" i="2"/>
  <c r="P467" i="2" s="1"/>
  <c r="O466" i="2"/>
  <c r="P466" i="2" s="1"/>
  <c r="O465" i="2"/>
  <c r="P465" i="2" s="1"/>
  <c r="O464" i="2"/>
  <c r="P464" i="2" s="1"/>
  <c r="O463" i="2"/>
  <c r="P463" i="2" s="1"/>
  <c r="O462" i="2"/>
  <c r="P462" i="2" s="1"/>
  <c r="O461" i="2"/>
  <c r="P461" i="2" s="1"/>
  <c r="O460" i="2"/>
  <c r="P460" i="2" s="1"/>
  <c r="O459" i="2"/>
  <c r="P459" i="2" s="1"/>
  <c r="O458" i="2"/>
  <c r="P458" i="2" s="1"/>
  <c r="O457" i="2"/>
  <c r="P457" i="2" s="1"/>
  <c r="O456" i="2"/>
  <c r="P456" i="2" s="1"/>
  <c r="O455" i="2"/>
  <c r="P455" i="2" s="1"/>
  <c r="O454" i="2"/>
  <c r="P454" i="2" s="1"/>
  <c r="O453" i="2"/>
  <c r="P453" i="2" s="1"/>
  <c r="O452" i="2"/>
  <c r="P452" i="2" s="1"/>
  <c r="O451" i="2"/>
  <c r="P451" i="2" s="1"/>
  <c r="O450" i="2"/>
  <c r="P450" i="2" s="1"/>
  <c r="O449" i="2"/>
  <c r="P449" i="2" s="1"/>
  <c r="O448" i="2"/>
  <c r="P448" i="2" s="1"/>
  <c r="O447" i="2"/>
  <c r="P447" i="2" s="1"/>
  <c r="O446" i="2"/>
  <c r="P446" i="2" s="1"/>
  <c r="O445" i="2"/>
  <c r="P445" i="2" s="1"/>
  <c r="O444" i="2"/>
  <c r="P444" i="2" s="1"/>
  <c r="O443" i="2"/>
  <c r="P443" i="2" s="1"/>
  <c r="O442" i="2"/>
  <c r="P442" i="2" s="1"/>
  <c r="O441" i="2"/>
  <c r="P441" i="2" s="1"/>
  <c r="O440" i="2"/>
  <c r="P440" i="2" s="1"/>
  <c r="O439" i="2"/>
  <c r="P439" i="2" s="1"/>
  <c r="O438" i="2"/>
  <c r="P438" i="2" s="1"/>
  <c r="O437" i="2"/>
  <c r="P437" i="2" s="1"/>
  <c r="O436" i="2"/>
  <c r="P436" i="2" s="1"/>
  <c r="O435" i="2"/>
  <c r="P435" i="2" s="1"/>
  <c r="O434" i="2"/>
  <c r="P434" i="2" s="1"/>
  <c r="O433" i="2"/>
  <c r="P433" i="2" s="1"/>
  <c r="O432" i="2"/>
  <c r="P432" i="2" s="1"/>
  <c r="O431" i="2"/>
  <c r="P431" i="2" s="1"/>
  <c r="O430" i="2"/>
  <c r="P430" i="2" s="1"/>
  <c r="O429" i="2"/>
  <c r="P429" i="2" s="1"/>
  <c r="O428" i="2"/>
  <c r="P428" i="2" s="1"/>
  <c r="O427" i="2"/>
  <c r="P427" i="2" s="1"/>
  <c r="O426" i="2"/>
  <c r="P426" i="2" s="1"/>
  <c r="O425" i="2"/>
  <c r="P425" i="2" s="1"/>
  <c r="O424" i="2"/>
  <c r="P424" i="2" s="1"/>
  <c r="O423" i="2"/>
  <c r="P423" i="2" s="1"/>
  <c r="O422" i="2"/>
  <c r="P422" i="2" s="1"/>
  <c r="O421" i="2"/>
  <c r="P421" i="2" s="1"/>
  <c r="O420" i="2"/>
  <c r="P420" i="2" s="1"/>
  <c r="O419" i="2"/>
  <c r="P419" i="2" s="1"/>
  <c r="O418" i="2"/>
  <c r="P418" i="2" s="1"/>
  <c r="O417" i="2"/>
  <c r="P417" i="2" s="1"/>
  <c r="O416" i="2"/>
  <c r="P416" i="2" s="1"/>
  <c r="O415" i="2"/>
  <c r="P415" i="2" s="1"/>
  <c r="O414" i="2"/>
  <c r="P414" i="2" s="1"/>
  <c r="O413" i="2"/>
  <c r="P413" i="2" s="1"/>
  <c r="O412" i="2"/>
  <c r="P412" i="2" s="1"/>
  <c r="O411" i="2"/>
  <c r="P411" i="2" s="1"/>
  <c r="O410" i="2"/>
  <c r="P410" i="2" s="1"/>
  <c r="O409" i="2"/>
  <c r="P409" i="2" s="1"/>
  <c r="O408" i="2"/>
  <c r="P408" i="2" s="1"/>
  <c r="O407" i="2"/>
  <c r="P407" i="2" s="1"/>
  <c r="O406" i="2"/>
  <c r="P406" i="2" s="1"/>
  <c r="O405" i="2"/>
  <c r="P405" i="2" s="1"/>
  <c r="O404" i="2"/>
  <c r="P404" i="2" s="1"/>
  <c r="O403" i="2"/>
  <c r="P403" i="2" s="1"/>
  <c r="O402" i="2"/>
  <c r="P402" i="2" s="1"/>
  <c r="O401" i="2"/>
  <c r="P401" i="2" s="1"/>
  <c r="O400" i="2"/>
  <c r="P400" i="2" s="1"/>
  <c r="O399" i="2"/>
  <c r="P399" i="2" s="1"/>
  <c r="O398" i="2"/>
  <c r="P398" i="2" s="1"/>
  <c r="O397" i="2"/>
  <c r="P397" i="2" s="1"/>
  <c r="O396" i="2"/>
  <c r="P396" i="2" s="1"/>
  <c r="O395" i="2"/>
  <c r="P395" i="2" s="1"/>
  <c r="O394" i="2"/>
  <c r="P394" i="2" s="1"/>
  <c r="O393" i="2"/>
  <c r="P393" i="2" s="1"/>
  <c r="O392" i="2"/>
  <c r="P392" i="2" s="1"/>
  <c r="O391" i="2"/>
  <c r="P391" i="2" s="1"/>
  <c r="O390" i="2"/>
  <c r="P390" i="2" s="1"/>
  <c r="O389" i="2"/>
  <c r="P389" i="2" s="1"/>
  <c r="O388" i="2"/>
  <c r="P388" i="2" s="1"/>
  <c r="O387" i="2"/>
  <c r="P387" i="2" s="1"/>
  <c r="O386" i="2"/>
  <c r="P386" i="2" s="1"/>
  <c r="O385" i="2"/>
  <c r="P385" i="2" s="1"/>
  <c r="O384" i="2"/>
  <c r="P384" i="2" s="1"/>
  <c r="O383" i="2"/>
  <c r="P383" i="2" s="1"/>
  <c r="O382" i="2"/>
  <c r="P382" i="2" s="1"/>
  <c r="O381" i="2"/>
  <c r="P381" i="2" s="1"/>
  <c r="O380" i="2"/>
  <c r="P380" i="2" s="1"/>
  <c r="O379" i="2"/>
  <c r="P379" i="2" s="1"/>
  <c r="O378" i="2"/>
  <c r="P378" i="2" s="1"/>
  <c r="O377" i="2"/>
  <c r="P377" i="2" s="1"/>
  <c r="O376" i="2"/>
  <c r="P376" i="2" s="1"/>
  <c r="O375" i="2"/>
  <c r="P375" i="2" s="1"/>
  <c r="O374" i="2"/>
  <c r="P374" i="2" s="1"/>
  <c r="O373" i="2"/>
  <c r="P373" i="2" s="1"/>
  <c r="O372" i="2"/>
  <c r="P372" i="2" s="1"/>
  <c r="O371" i="2"/>
  <c r="P371" i="2" s="1"/>
  <c r="O370" i="2"/>
  <c r="P370" i="2" s="1"/>
  <c r="O369" i="2"/>
  <c r="P369" i="2" s="1"/>
  <c r="O368" i="2"/>
  <c r="P368" i="2" s="1"/>
  <c r="O367" i="2"/>
  <c r="P367" i="2" s="1"/>
  <c r="O366" i="2"/>
  <c r="P366" i="2" s="1"/>
  <c r="O365" i="2"/>
  <c r="P365" i="2" s="1"/>
  <c r="O364" i="2"/>
  <c r="P364" i="2" s="1"/>
  <c r="O363" i="2"/>
  <c r="P363" i="2" s="1"/>
  <c r="O362" i="2"/>
  <c r="P362" i="2" s="1"/>
  <c r="O361" i="2"/>
  <c r="P361" i="2" s="1"/>
  <c r="O360" i="2"/>
  <c r="P360" i="2" s="1"/>
  <c r="O359" i="2"/>
  <c r="P359" i="2" s="1"/>
  <c r="O358" i="2"/>
  <c r="P358" i="2" s="1"/>
  <c r="O357" i="2"/>
  <c r="P357" i="2" s="1"/>
  <c r="O356" i="2"/>
  <c r="P356" i="2" s="1"/>
  <c r="O355" i="2"/>
  <c r="P355" i="2" s="1"/>
  <c r="O354" i="2"/>
  <c r="P354" i="2" s="1"/>
  <c r="O353" i="2"/>
  <c r="P353" i="2" s="1"/>
  <c r="O352" i="2"/>
  <c r="P352" i="2" s="1"/>
  <c r="O351" i="2"/>
  <c r="P351" i="2" s="1"/>
  <c r="O350" i="2"/>
  <c r="P350" i="2" s="1"/>
  <c r="O349" i="2"/>
  <c r="P349" i="2" s="1"/>
  <c r="O348" i="2"/>
  <c r="P348" i="2" s="1"/>
  <c r="O347" i="2"/>
  <c r="P347" i="2" s="1"/>
  <c r="O346" i="2"/>
  <c r="P346" i="2" s="1"/>
  <c r="O345" i="2"/>
  <c r="P345" i="2" s="1"/>
  <c r="O344" i="2"/>
  <c r="P344" i="2" s="1"/>
  <c r="O343" i="2"/>
  <c r="P343" i="2" s="1"/>
  <c r="O342" i="2"/>
  <c r="P342" i="2" s="1"/>
  <c r="O341" i="2"/>
  <c r="P341" i="2" s="1"/>
  <c r="O340" i="2"/>
  <c r="P340" i="2" s="1"/>
  <c r="O339" i="2"/>
  <c r="P339" i="2" s="1"/>
  <c r="O338" i="2"/>
  <c r="P338" i="2" s="1"/>
  <c r="O337" i="2"/>
  <c r="P337" i="2" s="1"/>
  <c r="O336" i="2"/>
  <c r="P336" i="2" s="1"/>
  <c r="O335" i="2"/>
  <c r="P335" i="2" s="1"/>
  <c r="O334" i="2"/>
  <c r="P334" i="2" s="1"/>
  <c r="O333" i="2"/>
  <c r="P333" i="2" s="1"/>
  <c r="O332" i="2"/>
  <c r="P332" i="2" s="1"/>
  <c r="O331" i="2"/>
  <c r="P331" i="2" s="1"/>
  <c r="O330" i="2"/>
  <c r="P330" i="2" s="1"/>
  <c r="O329" i="2"/>
  <c r="P329" i="2" s="1"/>
  <c r="O328" i="2"/>
  <c r="P328" i="2" s="1"/>
  <c r="O327" i="2"/>
  <c r="P327" i="2" s="1"/>
  <c r="O326" i="2"/>
  <c r="P326" i="2" s="1"/>
  <c r="O325" i="2"/>
  <c r="P325" i="2" s="1"/>
  <c r="O324" i="2"/>
  <c r="P324" i="2" s="1"/>
  <c r="O323" i="2"/>
  <c r="P323" i="2" s="1"/>
  <c r="O322" i="2"/>
  <c r="P322" i="2" s="1"/>
  <c r="O321" i="2"/>
  <c r="P321" i="2" s="1"/>
  <c r="O320" i="2"/>
  <c r="P320" i="2" s="1"/>
  <c r="O319" i="2"/>
  <c r="P319" i="2" s="1"/>
  <c r="O318" i="2"/>
  <c r="P318" i="2" s="1"/>
  <c r="O317" i="2"/>
  <c r="P317" i="2" s="1"/>
  <c r="O316" i="2"/>
  <c r="P316" i="2" s="1"/>
  <c r="O315" i="2"/>
  <c r="P315" i="2" s="1"/>
  <c r="O314" i="2"/>
  <c r="P314" i="2" s="1"/>
  <c r="O313" i="2"/>
  <c r="P313" i="2" s="1"/>
  <c r="O312" i="2"/>
  <c r="P312" i="2" s="1"/>
  <c r="O311" i="2"/>
  <c r="P311" i="2" s="1"/>
  <c r="O310" i="2"/>
  <c r="P310" i="2" s="1"/>
  <c r="O309" i="2"/>
  <c r="P309" i="2" s="1"/>
  <c r="O308" i="2"/>
  <c r="P308" i="2" s="1"/>
  <c r="O307" i="2"/>
  <c r="P307" i="2" s="1"/>
  <c r="O306" i="2"/>
  <c r="P306" i="2" s="1"/>
  <c r="O305" i="2"/>
  <c r="P305" i="2" s="1"/>
  <c r="O304" i="2"/>
  <c r="P304" i="2" s="1"/>
  <c r="O303" i="2"/>
  <c r="P303" i="2" s="1"/>
  <c r="O302" i="2"/>
  <c r="P302" i="2" s="1"/>
  <c r="O301" i="2"/>
  <c r="P301" i="2" s="1"/>
  <c r="O300" i="2"/>
  <c r="P300" i="2" s="1"/>
  <c r="O299" i="2"/>
  <c r="P299" i="2" s="1"/>
  <c r="O298" i="2"/>
  <c r="P298" i="2" s="1"/>
  <c r="O297" i="2"/>
  <c r="P297" i="2" s="1"/>
  <c r="O296" i="2"/>
  <c r="P296" i="2" s="1"/>
  <c r="O295" i="2"/>
  <c r="P295" i="2" s="1"/>
  <c r="O294" i="2"/>
  <c r="P294" i="2" s="1"/>
  <c r="O293" i="2"/>
  <c r="P293" i="2" s="1"/>
  <c r="O292" i="2"/>
  <c r="P292" i="2" s="1"/>
  <c r="O291" i="2"/>
  <c r="P291" i="2" s="1"/>
  <c r="O290" i="2"/>
  <c r="P290" i="2" s="1"/>
  <c r="O289" i="2"/>
  <c r="P289" i="2" s="1"/>
  <c r="O288" i="2"/>
  <c r="P288" i="2" s="1"/>
  <c r="O287" i="2"/>
  <c r="P287" i="2" s="1"/>
  <c r="O286" i="2"/>
  <c r="P286" i="2" s="1"/>
  <c r="O285" i="2"/>
  <c r="P285" i="2" s="1"/>
  <c r="O284" i="2"/>
  <c r="P284" i="2" s="1"/>
  <c r="O283" i="2"/>
  <c r="P283" i="2" s="1"/>
  <c r="O282" i="2"/>
  <c r="P282" i="2" s="1"/>
  <c r="O281" i="2"/>
  <c r="P281" i="2" s="1"/>
  <c r="O280" i="2"/>
  <c r="P280" i="2" s="1"/>
  <c r="O279" i="2"/>
  <c r="P279" i="2" s="1"/>
  <c r="O278" i="2"/>
  <c r="P278" i="2" s="1"/>
  <c r="O277" i="2"/>
  <c r="P277" i="2" s="1"/>
  <c r="O276" i="2"/>
  <c r="P276" i="2" s="1"/>
  <c r="O275" i="2"/>
  <c r="P275" i="2" s="1"/>
  <c r="O274" i="2"/>
  <c r="P274" i="2" s="1"/>
  <c r="O273" i="2"/>
  <c r="P273" i="2" s="1"/>
  <c r="O272" i="2"/>
  <c r="P272" i="2" s="1"/>
  <c r="O271" i="2"/>
  <c r="P271" i="2" s="1"/>
  <c r="O270" i="2"/>
  <c r="P270" i="2" s="1"/>
  <c r="O269" i="2"/>
  <c r="P269" i="2" s="1"/>
  <c r="O268" i="2"/>
  <c r="P268" i="2" s="1"/>
  <c r="O267" i="2"/>
  <c r="P267" i="2" s="1"/>
  <c r="O266" i="2"/>
  <c r="P266" i="2" s="1"/>
  <c r="O265" i="2"/>
  <c r="P265" i="2" s="1"/>
  <c r="O264" i="2"/>
  <c r="P264" i="2" s="1"/>
  <c r="O263" i="2"/>
  <c r="P263" i="2" s="1"/>
  <c r="O262" i="2"/>
  <c r="P262" i="2" s="1"/>
  <c r="O261" i="2"/>
  <c r="P261" i="2" s="1"/>
  <c r="O260" i="2"/>
  <c r="P260" i="2" s="1"/>
  <c r="O259" i="2"/>
  <c r="P259" i="2" s="1"/>
  <c r="O258" i="2"/>
  <c r="P258" i="2" s="1"/>
  <c r="O257" i="2"/>
  <c r="P257" i="2" s="1"/>
  <c r="O256" i="2"/>
  <c r="P256" i="2" s="1"/>
  <c r="O255" i="2"/>
  <c r="P255" i="2" s="1"/>
  <c r="O254" i="2"/>
  <c r="P254" i="2" s="1"/>
  <c r="O253" i="2"/>
  <c r="P253" i="2" s="1"/>
  <c r="O252" i="2"/>
  <c r="P252" i="2" s="1"/>
  <c r="O251" i="2"/>
  <c r="P251" i="2" s="1"/>
  <c r="O250" i="2"/>
  <c r="P250" i="2" s="1"/>
  <c r="O249" i="2"/>
  <c r="P249" i="2" s="1"/>
  <c r="O248" i="2"/>
  <c r="P248" i="2" s="1"/>
  <c r="O247" i="2"/>
  <c r="P247" i="2" s="1"/>
  <c r="O246" i="2"/>
  <c r="P246" i="2" s="1"/>
  <c r="O245" i="2"/>
  <c r="P245" i="2" s="1"/>
  <c r="O244" i="2"/>
  <c r="P244" i="2" s="1"/>
  <c r="O243" i="2"/>
  <c r="P243" i="2" s="1"/>
  <c r="O242" i="2"/>
  <c r="P242" i="2" s="1"/>
  <c r="O241" i="2"/>
  <c r="P241" i="2" s="1"/>
  <c r="O240" i="2"/>
  <c r="P240" i="2" s="1"/>
  <c r="O239" i="2"/>
  <c r="P239" i="2" s="1"/>
  <c r="O238" i="2"/>
  <c r="P238" i="2" s="1"/>
  <c r="O237" i="2"/>
  <c r="P237" i="2" s="1"/>
  <c r="O236" i="2"/>
  <c r="P236" i="2" s="1"/>
  <c r="O235" i="2"/>
  <c r="P235" i="2" s="1"/>
  <c r="O234" i="2"/>
  <c r="P234" i="2" s="1"/>
  <c r="O233" i="2"/>
  <c r="P233" i="2" s="1"/>
  <c r="O232" i="2"/>
  <c r="P232" i="2" s="1"/>
  <c r="O231" i="2"/>
  <c r="P231" i="2" s="1"/>
  <c r="O230" i="2"/>
  <c r="P230" i="2" s="1"/>
  <c r="O229" i="2"/>
  <c r="P229" i="2" s="1"/>
  <c r="O228" i="2"/>
  <c r="P228" i="2" s="1"/>
  <c r="O227" i="2"/>
  <c r="P227" i="2" s="1"/>
  <c r="O226" i="2"/>
  <c r="P226" i="2" s="1"/>
  <c r="O225" i="2"/>
  <c r="P225" i="2" s="1"/>
  <c r="O224" i="2"/>
  <c r="P224" i="2" s="1"/>
  <c r="O223" i="2"/>
  <c r="P223" i="2" s="1"/>
  <c r="O222" i="2"/>
  <c r="P222" i="2" s="1"/>
  <c r="O221" i="2"/>
  <c r="P221" i="2" s="1"/>
  <c r="O220" i="2"/>
  <c r="P220" i="2" s="1"/>
  <c r="O219" i="2"/>
  <c r="P219" i="2" s="1"/>
  <c r="O218" i="2"/>
  <c r="P218" i="2" s="1"/>
  <c r="O217" i="2"/>
  <c r="P217" i="2" s="1"/>
  <c r="O216" i="2"/>
  <c r="P216" i="2" s="1"/>
  <c r="O215" i="2"/>
  <c r="P215" i="2" s="1"/>
  <c r="O214" i="2"/>
  <c r="P214" i="2" s="1"/>
  <c r="O213" i="2"/>
  <c r="P213" i="2" s="1"/>
  <c r="O212" i="2"/>
  <c r="P212" i="2" s="1"/>
  <c r="O211" i="2"/>
  <c r="P211" i="2" s="1"/>
  <c r="O210" i="2"/>
  <c r="P210" i="2" s="1"/>
  <c r="O209" i="2"/>
  <c r="P209" i="2" s="1"/>
  <c r="O208" i="2"/>
  <c r="P208" i="2" s="1"/>
  <c r="O207" i="2"/>
  <c r="P207" i="2" s="1"/>
  <c r="O206" i="2"/>
  <c r="P206" i="2" s="1"/>
  <c r="O205" i="2"/>
  <c r="P205" i="2" s="1"/>
  <c r="O204" i="2"/>
  <c r="P204" i="2" s="1"/>
  <c r="O203" i="2"/>
  <c r="P203" i="2" s="1"/>
  <c r="O202" i="2"/>
  <c r="P202" i="2" s="1"/>
  <c r="O201" i="2"/>
  <c r="P201" i="2" s="1"/>
  <c r="O200" i="2"/>
  <c r="P200" i="2" s="1"/>
  <c r="O199" i="2"/>
  <c r="P199" i="2" s="1"/>
  <c r="O198" i="2"/>
  <c r="P198" i="2" s="1"/>
  <c r="O197" i="2"/>
  <c r="P197" i="2" s="1"/>
  <c r="O196" i="2"/>
  <c r="P196" i="2" s="1"/>
  <c r="O195" i="2"/>
  <c r="P195" i="2" s="1"/>
  <c r="O194" i="2"/>
  <c r="P194" i="2" s="1"/>
  <c r="O193" i="2"/>
  <c r="P193" i="2" s="1"/>
  <c r="O192" i="2"/>
  <c r="P192" i="2" s="1"/>
  <c r="O191" i="2"/>
  <c r="P191" i="2" s="1"/>
  <c r="O190" i="2"/>
  <c r="P190" i="2" s="1"/>
  <c r="O189" i="2"/>
  <c r="P189" i="2" s="1"/>
  <c r="O188" i="2"/>
  <c r="P188" i="2" s="1"/>
  <c r="O187" i="2"/>
  <c r="P187" i="2" s="1"/>
  <c r="O186" i="2"/>
  <c r="P186" i="2" s="1"/>
  <c r="O185" i="2"/>
  <c r="P185" i="2" s="1"/>
  <c r="O184" i="2"/>
  <c r="P184" i="2" s="1"/>
  <c r="O183" i="2"/>
  <c r="P183" i="2" s="1"/>
  <c r="O182" i="2"/>
  <c r="P182" i="2" s="1"/>
  <c r="O181" i="2"/>
  <c r="P181" i="2" s="1"/>
  <c r="O180" i="2"/>
  <c r="P180" i="2" s="1"/>
  <c r="O179" i="2"/>
  <c r="P179" i="2" s="1"/>
  <c r="O178" i="2"/>
  <c r="P178" i="2" s="1"/>
  <c r="O177" i="2"/>
  <c r="P177" i="2" s="1"/>
  <c r="O176" i="2"/>
  <c r="P176" i="2" s="1"/>
  <c r="O175" i="2"/>
  <c r="P175" i="2" s="1"/>
  <c r="O174" i="2"/>
  <c r="P174" i="2" s="1"/>
  <c r="O173" i="2"/>
  <c r="P173" i="2" s="1"/>
  <c r="O172" i="2"/>
  <c r="P172" i="2" s="1"/>
  <c r="O171" i="2"/>
  <c r="P171" i="2" s="1"/>
  <c r="O170" i="2"/>
  <c r="P170" i="2" s="1"/>
  <c r="O169" i="2"/>
  <c r="P169" i="2" s="1"/>
  <c r="O168" i="2"/>
  <c r="P168" i="2" s="1"/>
  <c r="O167" i="2"/>
  <c r="P167" i="2" s="1"/>
  <c r="O166" i="2"/>
  <c r="P166" i="2" s="1"/>
  <c r="O165" i="2"/>
  <c r="P165" i="2" s="1"/>
  <c r="O164" i="2"/>
  <c r="P164" i="2" s="1"/>
  <c r="O163" i="2"/>
  <c r="P163" i="2" s="1"/>
  <c r="O162" i="2"/>
  <c r="P162" i="2" s="1"/>
  <c r="O161" i="2"/>
  <c r="P161" i="2" s="1"/>
  <c r="O160" i="2"/>
  <c r="P160" i="2" s="1"/>
  <c r="O159" i="2"/>
  <c r="P159" i="2" s="1"/>
  <c r="O158" i="2"/>
  <c r="P158" i="2" s="1"/>
  <c r="O157" i="2"/>
  <c r="P157" i="2" s="1"/>
  <c r="O156" i="2"/>
  <c r="P156" i="2" s="1"/>
  <c r="O155" i="2"/>
  <c r="P155" i="2" s="1"/>
  <c r="O154" i="2"/>
  <c r="P154" i="2" s="1"/>
  <c r="O153" i="2"/>
  <c r="P153" i="2" s="1"/>
  <c r="O152" i="2"/>
  <c r="P152" i="2" s="1"/>
  <c r="O151" i="2"/>
  <c r="P151" i="2" s="1"/>
  <c r="O150" i="2"/>
  <c r="P150" i="2" s="1"/>
  <c r="O149" i="2"/>
  <c r="P149" i="2" s="1"/>
  <c r="O148" i="2"/>
  <c r="P148" i="2" s="1"/>
  <c r="O147" i="2"/>
  <c r="P147" i="2" s="1"/>
  <c r="O146" i="2"/>
  <c r="P146" i="2" s="1"/>
  <c r="O145" i="2"/>
  <c r="P145" i="2" s="1"/>
  <c r="O144" i="2"/>
  <c r="P144" i="2" s="1"/>
  <c r="O143" i="2"/>
  <c r="P143" i="2" s="1"/>
  <c r="O142" i="2"/>
  <c r="P142" i="2" s="1"/>
  <c r="O141" i="2"/>
  <c r="P141" i="2" s="1"/>
  <c r="O140" i="2"/>
  <c r="P140" i="2" s="1"/>
  <c r="O139" i="2"/>
  <c r="P139" i="2" s="1"/>
  <c r="O138" i="2"/>
  <c r="P138" i="2" s="1"/>
  <c r="O137" i="2"/>
  <c r="P137" i="2" s="1"/>
  <c r="O136" i="2"/>
  <c r="P136" i="2" s="1"/>
  <c r="O135" i="2"/>
  <c r="P135" i="2" s="1"/>
  <c r="O134" i="2"/>
  <c r="P134" i="2" s="1"/>
  <c r="O133" i="2"/>
  <c r="P133" i="2" s="1"/>
  <c r="O132" i="2"/>
  <c r="P132" i="2" s="1"/>
  <c r="O131" i="2"/>
  <c r="P131" i="2" s="1"/>
  <c r="O130" i="2"/>
  <c r="P130" i="2" s="1"/>
  <c r="O129" i="2"/>
  <c r="P129" i="2" s="1"/>
  <c r="O128" i="2"/>
  <c r="P128" i="2" s="1"/>
  <c r="O127" i="2"/>
  <c r="P127" i="2" s="1"/>
  <c r="O126" i="2"/>
  <c r="P126" i="2" s="1"/>
  <c r="O125" i="2"/>
  <c r="P125" i="2" s="1"/>
  <c r="O124" i="2"/>
  <c r="P124" i="2" s="1"/>
  <c r="O123" i="2"/>
  <c r="P123" i="2" s="1"/>
  <c r="O122" i="2"/>
  <c r="P122" i="2" s="1"/>
  <c r="O121" i="2"/>
  <c r="P121" i="2" s="1"/>
  <c r="O120" i="2"/>
  <c r="P120" i="2" s="1"/>
  <c r="O119" i="2"/>
  <c r="P119" i="2" s="1"/>
  <c r="O118" i="2"/>
  <c r="P118" i="2" s="1"/>
  <c r="O117" i="2"/>
  <c r="P117" i="2" s="1"/>
  <c r="O116" i="2"/>
  <c r="P116" i="2" s="1"/>
  <c r="O115" i="2"/>
  <c r="P115" i="2" s="1"/>
  <c r="O114" i="2"/>
  <c r="P114" i="2" s="1"/>
  <c r="O113" i="2"/>
  <c r="P113" i="2" s="1"/>
  <c r="O112" i="2"/>
  <c r="P112" i="2" s="1"/>
  <c r="O111" i="2"/>
  <c r="P111" i="2" s="1"/>
  <c r="O110" i="2"/>
  <c r="P110" i="2" s="1"/>
  <c r="O109" i="2"/>
  <c r="P109" i="2" s="1"/>
  <c r="O108" i="2"/>
  <c r="P108" i="2" s="1"/>
  <c r="O107" i="2"/>
  <c r="P107" i="2" s="1"/>
  <c r="O106" i="2"/>
  <c r="P106" i="2" s="1"/>
  <c r="O105" i="2"/>
  <c r="P105" i="2" s="1"/>
  <c r="O104" i="2"/>
  <c r="P104" i="2" s="1"/>
  <c r="O103" i="2"/>
  <c r="P103" i="2" s="1"/>
  <c r="O102" i="2"/>
  <c r="P102" i="2" s="1"/>
  <c r="O101" i="2"/>
  <c r="P101" i="2" s="1"/>
  <c r="O100" i="2"/>
  <c r="P100" i="2" s="1"/>
  <c r="O99" i="2"/>
  <c r="P99" i="2" s="1"/>
  <c r="O98" i="2"/>
  <c r="P98" i="2" s="1"/>
  <c r="O97" i="2"/>
  <c r="P97" i="2" s="1"/>
  <c r="O96" i="2"/>
  <c r="P96" i="2" s="1"/>
  <c r="O95" i="2"/>
  <c r="P95" i="2" s="1"/>
  <c r="O94" i="2"/>
  <c r="P94" i="2" s="1"/>
  <c r="O93" i="2"/>
  <c r="P93" i="2" s="1"/>
  <c r="O92" i="2"/>
  <c r="P92" i="2" s="1"/>
  <c r="O91" i="2"/>
  <c r="P91" i="2" s="1"/>
  <c r="O90" i="2"/>
  <c r="P90" i="2" s="1"/>
  <c r="O89" i="2"/>
  <c r="P89" i="2" s="1"/>
  <c r="O88" i="2"/>
  <c r="P88" i="2" s="1"/>
  <c r="O87" i="2"/>
  <c r="P87" i="2" s="1"/>
  <c r="O86" i="2"/>
  <c r="P86" i="2" s="1"/>
  <c r="O85" i="2"/>
  <c r="P85" i="2" s="1"/>
  <c r="O84" i="2"/>
  <c r="P84" i="2" s="1"/>
  <c r="O83" i="2"/>
  <c r="P83" i="2" s="1"/>
  <c r="O82" i="2"/>
  <c r="P82" i="2" s="1"/>
  <c r="O81" i="2"/>
  <c r="P81" i="2" s="1"/>
  <c r="O80" i="2"/>
  <c r="P80" i="2" s="1"/>
  <c r="O79" i="2"/>
  <c r="P79" i="2" s="1"/>
  <c r="O78" i="2"/>
  <c r="P78" i="2" s="1"/>
  <c r="O77" i="2"/>
  <c r="P77" i="2" s="1"/>
  <c r="O76" i="2"/>
  <c r="P76" i="2" s="1"/>
  <c r="O75" i="2"/>
  <c r="P75" i="2" s="1"/>
  <c r="O74" i="2"/>
  <c r="P74" i="2" s="1"/>
  <c r="O73" i="2"/>
  <c r="P73" i="2" s="1"/>
  <c r="O72" i="2"/>
  <c r="P72" i="2" s="1"/>
  <c r="O71" i="2"/>
  <c r="P71" i="2" s="1"/>
  <c r="O70" i="2"/>
  <c r="P70" i="2" s="1"/>
  <c r="O69" i="2"/>
  <c r="P69" i="2" s="1"/>
  <c r="O68" i="2"/>
  <c r="P68" i="2" s="1"/>
  <c r="O67" i="2"/>
  <c r="P67" i="2" s="1"/>
  <c r="O66" i="2"/>
  <c r="P66" i="2" s="1"/>
  <c r="O65" i="2"/>
  <c r="P65" i="2" s="1"/>
  <c r="O64" i="2"/>
  <c r="P64" i="2" s="1"/>
  <c r="O63" i="2"/>
  <c r="P63" i="2" s="1"/>
  <c r="O62" i="2"/>
  <c r="P62" i="2" s="1"/>
  <c r="O61" i="2"/>
  <c r="P61" i="2" s="1"/>
  <c r="O60" i="2"/>
  <c r="P60" i="2" s="1"/>
  <c r="O59" i="2"/>
  <c r="P59" i="2" s="1"/>
  <c r="O58" i="2"/>
  <c r="P58" i="2" s="1"/>
  <c r="O57" i="2"/>
  <c r="P57" i="2" s="1"/>
  <c r="O56" i="2"/>
  <c r="P56" i="2" s="1"/>
  <c r="O55" i="2"/>
  <c r="P55" i="2" s="1"/>
  <c r="O54" i="2"/>
  <c r="P54" i="2" s="1"/>
  <c r="O53" i="2"/>
  <c r="P53" i="2" s="1"/>
  <c r="O52" i="2"/>
  <c r="P52" i="2" s="1"/>
  <c r="O51" i="2"/>
  <c r="P51" i="2" s="1"/>
  <c r="O50" i="2"/>
  <c r="P50" i="2" s="1"/>
  <c r="O49" i="2"/>
  <c r="P49" i="2" s="1"/>
  <c r="O48" i="2"/>
  <c r="P48" i="2" s="1"/>
  <c r="O47" i="2"/>
  <c r="P47" i="2" s="1"/>
  <c r="O46" i="2"/>
  <c r="P46" i="2" s="1"/>
  <c r="O45" i="2"/>
  <c r="P45" i="2" s="1"/>
  <c r="O44" i="2"/>
  <c r="P44" i="2" s="1"/>
  <c r="O43" i="2"/>
  <c r="P43" i="2" s="1"/>
  <c r="O42" i="2"/>
  <c r="P42" i="2" s="1"/>
  <c r="O41" i="2"/>
  <c r="P41" i="2" s="1"/>
  <c r="O40" i="2"/>
  <c r="P40" i="2" s="1"/>
  <c r="O39" i="2"/>
  <c r="P39" i="2" s="1"/>
  <c r="O38" i="2"/>
  <c r="P38" i="2" s="1"/>
  <c r="O37" i="2"/>
  <c r="P37" i="2" s="1"/>
  <c r="O36" i="2"/>
  <c r="P36" i="2" s="1"/>
  <c r="O35" i="2"/>
  <c r="P35" i="2" s="1"/>
  <c r="O34" i="2"/>
  <c r="P34" i="2" s="1"/>
  <c r="O33" i="2"/>
  <c r="P33" i="2" s="1"/>
  <c r="O32" i="2"/>
  <c r="P32" i="2" s="1"/>
  <c r="O31" i="2"/>
  <c r="P31" i="2" s="1"/>
  <c r="O30" i="2"/>
  <c r="P30" i="2" s="1"/>
  <c r="O29" i="2"/>
  <c r="P29" i="2" s="1"/>
  <c r="O28" i="2"/>
  <c r="P28" i="2" s="1"/>
  <c r="O27" i="2"/>
  <c r="P27" i="2" s="1"/>
  <c r="O26" i="2"/>
  <c r="P26" i="2" s="1"/>
  <c r="O25" i="2"/>
  <c r="P25" i="2" s="1"/>
  <c r="O24" i="2"/>
  <c r="P24" i="2" s="1"/>
  <c r="O23" i="2"/>
  <c r="P23" i="2" s="1"/>
  <c r="O22" i="2"/>
  <c r="P22" i="2" s="1"/>
  <c r="O21" i="2"/>
  <c r="P21" i="2" s="1"/>
  <c r="O20" i="2"/>
  <c r="P20" i="2" s="1"/>
  <c r="O19" i="2"/>
  <c r="P19" i="2" s="1"/>
  <c r="O18" i="2"/>
  <c r="P18" i="2" s="1"/>
  <c r="O17" i="2"/>
  <c r="P17" i="2" s="1"/>
  <c r="O16" i="2"/>
  <c r="P16" i="2" s="1"/>
  <c r="O15" i="2"/>
  <c r="P15" i="2" s="1"/>
  <c r="O14" i="2"/>
  <c r="P14" i="2" s="1"/>
  <c r="O13" i="2"/>
  <c r="P13" i="2" s="1"/>
  <c r="O12" i="2"/>
  <c r="P12" i="2" s="1"/>
  <c r="O11" i="2"/>
  <c r="P11" i="2" s="1"/>
  <c r="O10" i="2"/>
  <c r="P10" i="2" s="1"/>
  <c r="O9" i="2"/>
  <c r="P9" i="2" s="1"/>
  <c r="O8" i="2"/>
  <c r="P8" i="2" s="1"/>
  <c r="O7" i="2"/>
  <c r="P7" i="2" s="1"/>
  <c r="O6" i="2"/>
  <c r="P6" i="2" s="1"/>
  <c r="O5" i="2"/>
  <c r="P5" i="2" s="1"/>
  <c r="O4" i="2"/>
  <c r="P4" i="2" s="1"/>
  <c r="O3" i="2"/>
  <c r="P3" i="2" s="1"/>
  <c r="O2" i="2"/>
  <c r="P2" i="2" s="1"/>
</calcChain>
</file>

<file path=xl/sharedStrings.xml><?xml version="1.0" encoding="utf-8"?>
<sst xmlns="http://schemas.openxmlformats.org/spreadsheetml/2006/main" count="15166" uniqueCount="2808">
  <si>
    <t>Diwali</t>
  </si>
  <si>
    <t>Andheri Branch</t>
  </si>
  <si>
    <t>Dussehra</t>
  </si>
  <si>
    <t>Dadar Branch</t>
  </si>
  <si>
    <t>Ganesh Chaturthi</t>
  </si>
  <si>
    <t>Thane Branch</t>
  </si>
  <si>
    <t>Onam</t>
  </si>
  <si>
    <t>Pune Camp Branch</t>
  </si>
  <si>
    <t>Navratri</t>
  </si>
  <si>
    <t>Nashik Road Branch</t>
  </si>
  <si>
    <t>Makar Sankranti</t>
  </si>
  <si>
    <t>Vashi Branch</t>
  </si>
  <si>
    <t>New Year</t>
  </si>
  <si>
    <t>Republic Day Sale</t>
  </si>
  <si>
    <t>Independence Day Sale</t>
  </si>
  <si>
    <t>Ugadi</t>
  </si>
  <si>
    <t>Pongal</t>
  </si>
  <si>
    <t>Holi</t>
  </si>
  <si>
    <t>Commuter</t>
  </si>
  <si>
    <t>Sports</t>
  </si>
  <si>
    <t>Cruiser</t>
  </si>
  <si>
    <t>Scooter</t>
  </si>
  <si>
    <t>Electric</t>
  </si>
  <si>
    <t>Payment Mode</t>
  </si>
  <si>
    <t>Delivery Status</t>
  </si>
  <si>
    <t>Cash</t>
  </si>
  <si>
    <t>Delivered</t>
  </si>
  <si>
    <t>Under $75,000</t>
  </si>
  <si>
    <t>Bank Loan</t>
  </si>
  <si>
    <t>Pending</t>
  </si>
  <si>
    <t>$75,000 - $100,000</t>
  </si>
  <si>
    <t>EMI - HDFC</t>
  </si>
  <si>
    <t>In Transit</t>
  </si>
  <si>
    <t>$100,000 - $125,000</t>
  </si>
  <si>
    <t>EMI - Bajaj Finserv</t>
  </si>
  <si>
    <t>$125,000 - $150,000</t>
  </si>
  <si>
    <t>Credit Card</t>
  </si>
  <si>
    <t>$150,000 - $200,000</t>
  </si>
  <si>
    <t>UPI</t>
  </si>
  <si>
    <t>Above $200,000</t>
  </si>
  <si>
    <t>Cheque</t>
  </si>
  <si>
    <t>Sale ID</t>
  </si>
  <si>
    <t>Sale Date</t>
  </si>
  <si>
    <t>Festival Name</t>
  </si>
  <si>
    <t>Customer Name</t>
  </si>
  <si>
    <t>Customer Phone</t>
  </si>
  <si>
    <t>Customer City</t>
  </si>
  <si>
    <t>Bike Model</t>
  </si>
  <si>
    <t>Bike Category</t>
  </si>
  <si>
    <t>Engine (CC)</t>
  </si>
  <si>
    <t>Color</t>
  </si>
  <si>
    <t>Showroom Branch</t>
  </si>
  <si>
    <t>Salesperson</t>
  </si>
  <si>
    <t>List Price ($)</t>
  </si>
  <si>
    <t>Festival Discount (%)</t>
  </si>
  <si>
    <t>Discount Amount ($)</t>
  </si>
  <si>
    <t>Final Price ($)</t>
  </si>
  <si>
    <t>Exchange Bike (Y/N)</t>
  </si>
  <si>
    <t>Insurance Included (Y/N)</t>
  </si>
  <si>
    <t>BSH0001</t>
  </si>
  <si>
    <t>2025-01-13</t>
  </si>
  <si>
    <t>Myra Verma</t>
  </si>
  <si>
    <t>+91-7237380239</t>
  </si>
  <si>
    <t>Pune</t>
  </si>
  <si>
    <t>KTM Duke 200</t>
  </si>
  <si>
    <t>Green</t>
  </si>
  <si>
    <t>V. Shinde</t>
  </si>
  <si>
    <t>No</t>
  </si>
  <si>
    <t>Yes</t>
  </si>
  <si>
    <t>BSH0002</t>
  </si>
  <si>
    <t>2025-10-07</t>
  </si>
  <si>
    <t>Navya Verma</t>
  </si>
  <si>
    <t>+91-9709484115</t>
  </si>
  <si>
    <t>TVS Jupiter</t>
  </si>
  <si>
    <t>P. Bhosale</t>
  </si>
  <si>
    <t>BSH0003</t>
  </si>
  <si>
    <t>2025-08-28</t>
  </si>
  <si>
    <t>Anika Kumar</t>
  </si>
  <si>
    <t>+91-8771725439</t>
  </si>
  <si>
    <t>Satara</t>
  </si>
  <si>
    <t>Bajaj Chetak Electric</t>
  </si>
  <si>
    <t>Silver</t>
  </si>
  <si>
    <t>A. Patil</t>
  </si>
  <si>
    <t>BSH0004</t>
  </si>
  <si>
    <t>2025-03-12</t>
  </si>
  <si>
    <t>Divya Verma</t>
  </si>
  <si>
    <t>+91-9028336995</t>
  </si>
  <si>
    <t>Solapur</t>
  </si>
  <si>
    <t>TVS Raider 125</t>
  </si>
  <si>
    <t>Pearl White</t>
  </si>
  <si>
    <t>N. Pawar</t>
  </si>
  <si>
    <t>BSH0005</t>
  </si>
  <si>
    <t>2025-08-27</t>
  </si>
  <si>
    <t>Sai Yadav</t>
  </si>
  <si>
    <t>+91-7983878838</t>
  </si>
  <si>
    <t>Ola S1 Pro</t>
  </si>
  <si>
    <t>Metallic Blue</t>
  </si>
  <si>
    <t>S. Kulkarni</t>
  </si>
  <si>
    <t>BSH0006</t>
  </si>
  <si>
    <t>2025-01-29</t>
  </si>
  <si>
    <t>Aditya Gupta</t>
  </si>
  <si>
    <t>+91-9505383148</t>
  </si>
  <si>
    <t>Matte Black</t>
  </si>
  <si>
    <t>K. More</t>
  </si>
  <si>
    <t>BSH0007</t>
  </si>
  <si>
    <t>2025-01-24</t>
  </si>
  <si>
    <t>Vihaan Iyer</t>
  </si>
  <si>
    <t>+91-9120585752</t>
  </si>
  <si>
    <t>BSH0008</t>
  </si>
  <si>
    <t>2025-10-06</t>
  </si>
  <si>
    <t>Vihaan Reddy</t>
  </si>
  <si>
    <t>+91-9517347674</t>
  </si>
  <si>
    <t>Nagpur</t>
  </si>
  <si>
    <t>BSH0009</t>
  </si>
  <si>
    <t>2025-08-30</t>
  </si>
  <si>
    <t>Anjali Nair</t>
  </si>
  <si>
    <t>+91-9314764433</t>
  </si>
  <si>
    <t>Aurangabad</t>
  </si>
  <si>
    <t>Royal Enfield Hunter 350</t>
  </si>
  <si>
    <t>White</t>
  </si>
  <si>
    <t>BSH0010</t>
  </si>
  <si>
    <t>2025-01-25</t>
  </si>
  <si>
    <t>Manoj Iyer</t>
  </si>
  <si>
    <t>+91-7013429094</t>
  </si>
  <si>
    <t>Kolhapur</t>
  </si>
  <si>
    <t>BSH0011</t>
  </si>
  <si>
    <t>2025-08-18</t>
  </si>
  <si>
    <t>Myra Chopra</t>
  </si>
  <si>
    <t>+91-8291423570</t>
  </si>
  <si>
    <t>Red</t>
  </si>
  <si>
    <t>BSH0012</t>
  </si>
  <si>
    <t>2025-03-27</t>
  </si>
  <si>
    <t>Reyansh Sharma</t>
  </si>
  <si>
    <t>+91-8857229826</t>
  </si>
  <si>
    <t>Amravati</t>
  </si>
  <si>
    <t>TVS Apache RTR 160</t>
  </si>
  <si>
    <t>R. Deshmukh</t>
  </si>
  <si>
    <t>BSH0013</t>
  </si>
  <si>
    <t>2025-01-16</t>
  </si>
  <si>
    <t>Saanvi Pillai</t>
  </si>
  <si>
    <t>+91-8193272147</t>
  </si>
  <si>
    <t>BSH0014</t>
  </si>
  <si>
    <t>2025-01-15</t>
  </si>
  <si>
    <t>Pooja Singh</t>
  </si>
  <si>
    <t>+91-8691913027</t>
  </si>
  <si>
    <t>Nashik</t>
  </si>
  <si>
    <t>Bajaj Platina 110</t>
  </si>
  <si>
    <t>BSH0015</t>
  </si>
  <si>
    <t>2025-09-27</t>
  </si>
  <si>
    <t>Aadhya Singh</t>
  </si>
  <si>
    <t>+91-8165539201</t>
  </si>
  <si>
    <t>BSH0016</t>
  </si>
  <si>
    <t>2025-09-05</t>
  </si>
  <si>
    <t>Sneha Agarwal</t>
  </si>
  <si>
    <t>+91-8165113798</t>
  </si>
  <si>
    <t>Mumbai</t>
  </si>
  <si>
    <t>Suzuki Access 125</t>
  </si>
  <si>
    <t>BSH0017</t>
  </si>
  <si>
    <t>2025-01-12</t>
  </si>
  <si>
    <t>Vikram Patel</t>
  </si>
  <si>
    <t>+91-7743371614</t>
  </si>
  <si>
    <t>BSH0018</t>
  </si>
  <si>
    <t>Kiara Reddy</t>
  </si>
  <si>
    <t>+91-8566433399</t>
  </si>
  <si>
    <t>Black</t>
  </si>
  <si>
    <t>BSH0019</t>
  </si>
  <si>
    <t>2025-08-24</t>
  </si>
  <si>
    <t>Ishaan Yadav</t>
  </si>
  <si>
    <t>+91-9965070994</t>
  </si>
  <si>
    <t>Honda Unicorn</t>
  </si>
  <si>
    <t>BSH0020</t>
  </si>
  <si>
    <t>2025-01-01</t>
  </si>
  <si>
    <t>Amit Sharma</t>
  </si>
  <si>
    <t>+91-7825237889</t>
  </si>
  <si>
    <t>Thane</t>
  </si>
  <si>
    <t>BSH0021</t>
  </si>
  <si>
    <t>2025-01-18</t>
  </si>
  <si>
    <t>Meera Bansal</t>
  </si>
  <si>
    <t>+91-8378375752</t>
  </si>
  <si>
    <t>Blue</t>
  </si>
  <si>
    <t>BSH0022</t>
  </si>
  <si>
    <t>2025-08-26</t>
  </si>
  <si>
    <t>Ishaan Agarwal</t>
  </si>
  <si>
    <t>+91-9028625772</t>
  </si>
  <si>
    <t>Honda Shine</t>
  </si>
  <si>
    <t>BSH0023</t>
  </si>
  <si>
    <t>2025-09-06</t>
  </si>
  <si>
    <t>Aditya Patel</t>
  </si>
  <si>
    <t>+91-8663669267</t>
  </si>
  <si>
    <t>Hero Splendor Plus</t>
  </si>
  <si>
    <t>BSH0024</t>
  </si>
  <si>
    <t>2025-08-20</t>
  </si>
  <si>
    <t>Pooja Bansal</t>
  </si>
  <si>
    <t>+91-7811578578</t>
  </si>
  <si>
    <t>BSH0025</t>
  </si>
  <si>
    <t>Navya Gupta</t>
  </si>
  <si>
    <t>+91-7696997749</t>
  </si>
  <si>
    <t>BSH0026</t>
  </si>
  <si>
    <t>2025-10-05</t>
  </si>
  <si>
    <t>Neha Singh</t>
  </si>
  <si>
    <t>+91-9188339322</t>
  </si>
  <si>
    <t>Hero Xtreme 160R</t>
  </si>
  <si>
    <t>BSH0027</t>
  </si>
  <si>
    <t>2025-01-11</t>
  </si>
  <si>
    <t>Diya Chauhan</t>
  </si>
  <si>
    <t>+91-8502967731</t>
  </si>
  <si>
    <t>M. Jadhav</t>
  </si>
  <si>
    <t>BSH0028</t>
  </si>
  <si>
    <t>2025-10-03</t>
  </si>
  <si>
    <t>Deepak Verma</t>
  </si>
  <si>
    <t>+91-9968433796</t>
  </si>
  <si>
    <t>Royal Enfield Classic 350</t>
  </si>
  <si>
    <t>BSH0029</t>
  </si>
  <si>
    <t>2025-09-19</t>
  </si>
  <si>
    <t>Karan Malhotra</t>
  </si>
  <si>
    <t>+91-9933619491</t>
  </si>
  <si>
    <t>BSH0030</t>
  </si>
  <si>
    <t>Aarav Joshi</t>
  </si>
  <si>
    <t>+91-8812264756</t>
  </si>
  <si>
    <t>BSH0031</t>
  </si>
  <si>
    <t>Sanjay Bansal</t>
  </si>
  <si>
    <t>+91-9488736983</t>
  </si>
  <si>
    <t>Yamaha MT-15</t>
  </si>
  <si>
    <t>BSH0032</t>
  </si>
  <si>
    <t>2025-10-25</t>
  </si>
  <si>
    <t>Anjali Reddy</t>
  </si>
  <si>
    <t>+91-8685072227</t>
  </si>
  <si>
    <t>BSH0033</t>
  </si>
  <si>
    <t>Diya Reddy</t>
  </si>
  <si>
    <t>+91-9727293358</t>
  </si>
  <si>
    <t>BSH0034</t>
  </si>
  <si>
    <t>Priya Iyer</t>
  </si>
  <si>
    <t>+91-8962041747</t>
  </si>
  <si>
    <t>BSH0035</t>
  </si>
  <si>
    <t>2025-08-17</t>
  </si>
  <si>
    <t>Suresh Verma</t>
  </si>
  <si>
    <t>+91-9891450573</t>
  </si>
  <si>
    <t>BSH0036</t>
  </si>
  <si>
    <t>Priya Sharma</t>
  </si>
  <si>
    <t>+91-7297744625</t>
  </si>
  <si>
    <t>BSH0037</t>
  </si>
  <si>
    <t>Ishaan Pillai</t>
  </si>
  <si>
    <t>+91-8276352747</t>
  </si>
  <si>
    <t>Grey</t>
  </si>
  <si>
    <t>BSH0038</t>
  </si>
  <si>
    <t>2025-08-14</t>
  </si>
  <si>
    <t>Sneha Bansal</t>
  </si>
  <si>
    <t>+91-8862712107</t>
  </si>
  <si>
    <t>BSH0039</t>
  </si>
  <si>
    <t>2025-01-31</t>
  </si>
  <si>
    <t>Vihaan Sharma</t>
  </si>
  <si>
    <t>+91-9052079657</t>
  </si>
  <si>
    <t>BSH0040</t>
  </si>
  <si>
    <t>2025-03-18</t>
  </si>
  <si>
    <t>Manoj Gupta</t>
  </si>
  <si>
    <t>+91-9772644807</t>
  </si>
  <si>
    <t>Honda Activa 6G</t>
  </si>
  <si>
    <t>BSH0041</t>
  </si>
  <si>
    <t>Shreya Reddy</t>
  </si>
  <si>
    <t>+91-7253888604</t>
  </si>
  <si>
    <t>BSH0042</t>
  </si>
  <si>
    <t>2025-01-27</t>
  </si>
  <si>
    <t>Reyansh Reddy</t>
  </si>
  <si>
    <t>+91-9214174174</t>
  </si>
  <si>
    <t>BSH0043</t>
  </si>
  <si>
    <t>Vivaan Iyer</t>
  </si>
  <si>
    <t>+91-8503920022</t>
  </si>
  <si>
    <t>BSH0044</t>
  </si>
  <si>
    <t>2025-09-01</t>
  </si>
  <si>
    <t>Manoj Mehta</t>
  </si>
  <si>
    <t>+91-7434589084</t>
  </si>
  <si>
    <t>BSH0045</t>
  </si>
  <si>
    <t>2025-10-24</t>
  </si>
  <si>
    <t>Riya Chopra</t>
  </si>
  <si>
    <t>+91-7989428442</t>
  </si>
  <si>
    <t>BSH0046</t>
  </si>
  <si>
    <t>2024-12-30</t>
  </si>
  <si>
    <t>Rahul Sharma</t>
  </si>
  <si>
    <t>+91-9954247988</t>
  </si>
  <si>
    <t>BSH0047</t>
  </si>
  <si>
    <t>Deepak Patel</t>
  </si>
  <si>
    <t>+91-7169196766</t>
  </si>
  <si>
    <t>BSH0048</t>
  </si>
  <si>
    <t>Anjali Chauhan</t>
  </si>
  <si>
    <t>+91-7666620561</t>
  </si>
  <si>
    <t>BSH0049</t>
  </si>
  <si>
    <t>Pooja Malhotra</t>
  </si>
  <si>
    <t>+91-8126146929</t>
  </si>
  <si>
    <t>BSH0050</t>
  </si>
  <si>
    <t>2025-08-25</t>
  </si>
  <si>
    <t>Amit Bansal</t>
  </si>
  <si>
    <t>+91-9968675152</t>
  </si>
  <si>
    <t>BSH0051</t>
  </si>
  <si>
    <t>2025-01-19</t>
  </si>
  <si>
    <t>Sai Joshi</t>
  </si>
  <si>
    <t>+91-7783558274</t>
  </si>
  <si>
    <t>BSH0052</t>
  </si>
  <si>
    <t>Deepak Yadav</t>
  </si>
  <si>
    <t>+91-8180126498</t>
  </si>
  <si>
    <t>BSH0053</t>
  </si>
  <si>
    <t>2025-01-02</t>
  </si>
  <si>
    <t>Vivaan Kumar</t>
  </si>
  <si>
    <t>+91-7105665731</t>
  </si>
  <si>
    <t>BSH0054</t>
  </si>
  <si>
    <t>2025-10-02</t>
  </si>
  <si>
    <t>Ishaan Kumar</t>
  </si>
  <si>
    <t>+91-8711699400</t>
  </si>
  <si>
    <t>BSH0055</t>
  </si>
  <si>
    <t>Krishna Nair</t>
  </si>
  <si>
    <t>+91-8730993399</t>
  </si>
  <si>
    <t>BSH0056</t>
  </si>
  <si>
    <t>Aarav Chauhan</t>
  </si>
  <si>
    <t>+91-7988070383</t>
  </si>
  <si>
    <t>BSH0057</t>
  </si>
  <si>
    <t>Vivaan Reddy</t>
  </si>
  <si>
    <t>+91-8632898403</t>
  </si>
  <si>
    <t>Bajaj Pulsar 150</t>
  </si>
  <si>
    <t>BSH0058</t>
  </si>
  <si>
    <t>2025-01-17</t>
  </si>
  <si>
    <t>Aadhya Chopra</t>
  </si>
  <si>
    <t>+91-7649010885</t>
  </si>
  <si>
    <t>BSH0059</t>
  </si>
  <si>
    <t>Ravi Patel</t>
  </si>
  <si>
    <t>+91-9043474980</t>
  </si>
  <si>
    <t>Yamaha FZ-S</t>
  </si>
  <si>
    <t>BSH0060</t>
  </si>
  <si>
    <t>2025-10-20</t>
  </si>
  <si>
    <t>Vivaan Pillai</t>
  </si>
  <si>
    <t>+91-7465064445</t>
  </si>
  <si>
    <t>BSH0061</t>
  </si>
  <si>
    <t>2025-08-29</t>
  </si>
  <si>
    <t>Rahul Singh</t>
  </si>
  <si>
    <t>+91-9138078786</t>
  </si>
  <si>
    <t>BSH0062</t>
  </si>
  <si>
    <t>2025-10-18</t>
  </si>
  <si>
    <t>Deepak Gupta</t>
  </si>
  <si>
    <t>+91-8151665074</t>
  </si>
  <si>
    <t>BSH0063</t>
  </si>
  <si>
    <t>Rahul Mehta</t>
  </si>
  <si>
    <t>+91-8774468503</t>
  </si>
  <si>
    <t>BSH0064</t>
  </si>
  <si>
    <t>2024-12-29</t>
  </si>
  <si>
    <t>Kiara Verma</t>
  </si>
  <si>
    <t>+91-8520618202</t>
  </si>
  <si>
    <t>BSH0065</t>
  </si>
  <si>
    <t>Manoj Joshi</t>
  </si>
  <si>
    <t>+91-7903148981</t>
  </si>
  <si>
    <t>BSH0066</t>
  </si>
  <si>
    <t>+91-7028549756</t>
  </si>
  <si>
    <t>BSH0067</t>
  </si>
  <si>
    <t>Anika Gupta</t>
  </si>
  <si>
    <t>+91-9128414438</t>
  </si>
  <si>
    <t>BSH0068</t>
  </si>
  <si>
    <t>Reyansh Malhotra</t>
  </si>
  <si>
    <t>+91-8633468584</t>
  </si>
  <si>
    <t>BSH0069</t>
  </si>
  <si>
    <t>Ravi Iyer</t>
  </si>
  <si>
    <t>+91-7915584302</t>
  </si>
  <si>
    <t>BSH0070</t>
  </si>
  <si>
    <t>Meera Reddy</t>
  </si>
  <si>
    <t>+91-8069318494</t>
  </si>
  <si>
    <t>BSH0071</t>
  </si>
  <si>
    <t>2025-09-29</t>
  </si>
  <si>
    <t>Pooja Rao</t>
  </si>
  <si>
    <t>+91-9754368759</t>
  </si>
  <si>
    <t>BSH0072</t>
  </si>
  <si>
    <t>2025-08-31</t>
  </si>
  <si>
    <t>Swati Nair</t>
  </si>
  <si>
    <t>+91-9539597130</t>
  </si>
  <si>
    <t>BSH0073</t>
  </si>
  <si>
    <t>Aditya Pillai</t>
  </si>
  <si>
    <t>+91-9399395412</t>
  </si>
  <si>
    <t>BSH0074</t>
  </si>
  <si>
    <t>Pooja Gupta</t>
  </si>
  <si>
    <t>+91-8337423289</t>
  </si>
  <si>
    <t>BSH0075</t>
  </si>
  <si>
    <t>2025-09-23</t>
  </si>
  <si>
    <t>Anika Verma</t>
  </si>
  <si>
    <t>+91-8023584254</t>
  </si>
  <si>
    <t>BSH0076</t>
  </si>
  <si>
    <t>2025-10-23</t>
  </si>
  <si>
    <t>Rohan Malhotra</t>
  </si>
  <si>
    <t>+91-7372021860</t>
  </si>
  <si>
    <t>BSH0077</t>
  </si>
  <si>
    <t>2025-04-01</t>
  </si>
  <si>
    <t>Priya Singh</t>
  </si>
  <si>
    <t>+91-7478055605</t>
  </si>
  <si>
    <t>BSH0078</t>
  </si>
  <si>
    <t>Ananya Verma</t>
  </si>
  <si>
    <t>+91-8991193409</t>
  </si>
  <si>
    <t>BSH0079</t>
  </si>
  <si>
    <t>2025-09-09</t>
  </si>
  <si>
    <t>Karan Yadav</t>
  </si>
  <si>
    <t>+91-7714715467</t>
  </si>
  <si>
    <t>BSH0080</t>
  </si>
  <si>
    <t>2025-08-12</t>
  </si>
  <si>
    <t>Ananya Patel</t>
  </si>
  <si>
    <t>+91-8277488580</t>
  </si>
  <si>
    <t>BSH0081</t>
  </si>
  <si>
    <t>Priya Kapoor</t>
  </si>
  <si>
    <t>+91-7585713063</t>
  </si>
  <si>
    <t>BSH0082</t>
  </si>
  <si>
    <t>2025-09-30</t>
  </si>
  <si>
    <t>Krishna Mehta</t>
  </si>
  <si>
    <t>+91-8410957884</t>
  </si>
  <si>
    <t>BSH0083</t>
  </si>
  <si>
    <t>2025-03-19</t>
  </si>
  <si>
    <t>Sai Verma</t>
  </si>
  <si>
    <t>+91-9464376050</t>
  </si>
  <si>
    <t>BSH0084</t>
  </si>
  <si>
    <t>2025-03-14</t>
  </si>
  <si>
    <t>Arjun Mehta</t>
  </si>
  <si>
    <t>+91-9000343059</t>
  </si>
  <si>
    <t>BSH0085</t>
  </si>
  <si>
    <t>2025-04-04</t>
  </si>
  <si>
    <t>Suresh Joshi</t>
  </si>
  <si>
    <t>+91-8219814827</t>
  </si>
  <si>
    <t>BSH0086</t>
  </si>
  <si>
    <t>Aadhya Kapoor</t>
  </si>
  <si>
    <t>+91-8819278347</t>
  </si>
  <si>
    <t>BSH0087</t>
  </si>
  <si>
    <t>2025-03-29</t>
  </si>
  <si>
    <t>Aadhya Joshi</t>
  </si>
  <si>
    <t>+91-9505520667</t>
  </si>
  <si>
    <t>BSH0088</t>
  </si>
  <si>
    <t>Aarav Verma</t>
  </si>
  <si>
    <t>+91-7726229577</t>
  </si>
  <si>
    <t>BSH0089</t>
  </si>
  <si>
    <t>Vivaan Verma</t>
  </si>
  <si>
    <t>+91-7008584333</t>
  </si>
  <si>
    <t>BSH0090</t>
  </si>
  <si>
    <t>Aadhya Pillai</t>
  </si>
  <si>
    <t>+91-9714772246</t>
  </si>
  <si>
    <t>BSH0091</t>
  </si>
  <si>
    <t>Myra Nair</t>
  </si>
  <si>
    <t>+91-7037617357</t>
  </si>
  <si>
    <t>BSH0092</t>
  </si>
  <si>
    <t>2025-10-17</t>
  </si>
  <si>
    <t>Kavya Sharma</t>
  </si>
  <si>
    <t>+91-8330334334</t>
  </si>
  <si>
    <t>BSH0093</t>
  </si>
  <si>
    <t>Anika Pillai</t>
  </si>
  <si>
    <t>+91-7572276660</t>
  </si>
  <si>
    <t>BSH0094</t>
  </si>
  <si>
    <t>2025-01-04</t>
  </si>
  <si>
    <t>Ira Gupta</t>
  </si>
  <si>
    <t>+91-9430595921</t>
  </si>
  <si>
    <t>BSH0095</t>
  </si>
  <si>
    <t>2025-03-15</t>
  </si>
  <si>
    <t>Vihaan Nair</t>
  </si>
  <si>
    <t>+91-9083682586</t>
  </si>
  <si>
    <t>BSH0096</t>
  </si>
  <si>
    <t>Rohan Joshi</t>
  </si>
  <si>
    <t>+91-7628960948</t>
  </si>
  <si>
    <t>BSH0097</t>
  </si>
  <si>
    <t>Amit Chopra</t>
  </si>
  <si>
    <t>+91-9040286720</t>
  </si>
  <si>
    <t>BSH0098</t>
  </si>
  <si>
    <t>Aditya Kumar</t>
  </si>
  <si>
    <t>+91-9269594350</t>
  </si>
  <si>
    <t>BSH0099</t>
  </si>
  <si>
    <t>Amit Patel</t>
  </si>
  <si>
    <t>+91-7110914512</t>
  </si>
  <si>
    <t>BSH0100</t>
  </si>
  <si>
    <t>Vivaan Mehta</t>
  </si>
  <si>
    <t>+91-7841147040</t>
  </si>
  <si>
    <t>BSH0101</t>
  </si>
  <si>
    <t>2025-08-13</t>
  </si>
  <si>
    <t>Saanvi Agarwal</t>
  </si>
  <si>
    <t>+91-9309016306</t>
  </si>
  <si>
    <t>BSH0102</t>
  </si>
  <si>
    <t>+91-7313574419</t>
  </si>
  <si>
    <t>BSH0103</t>
  </si>
  <si>
    <t>Rohan Patel</t>
  </si>
  <si>
    <t>+91-9085720601</t>
  </si>
  <si>
    <t>BSH0104</t>
  </si>
  <si>
    <t>Aadhya Reddy</t>
  </si>
  <si>
    <t>+91-7993344497</t>
  </si>
  <si>
    <t>BSH0105</t>
  </si>
  <si>
    <t>Saanvi Yadav</t>
  </si>
  <si>
    <t>+91-8070478384</t>
  </si>
  <si>
    <t>BSH0106</t>
  </si>
  <si>
    <t>2025-09-04</t>
  </si>
  <si>
    <t>Diya Kapoor</t>
  </si>
  <si>
    <t>+91-9106041187</t>
  </si>
  <si>
    <t>BSH0107</t>
  </si>
  <si>
    <t>Rohan Rao</t>
  </si>
  <si>
    <t>+91-8075034808</t>
  </si>
  <si>
    <t>BSH0108</t>
  </si>
  <si>
    <t>2025-09-25</t>
  </si>
  <si>
    <t>Deepak Reddy</t>
  </si>
  <si>
    <t>+91-7358093621</t>
  </si>
  <si>
    <t>BSH0109</t>
  </si>
  <si>
    <t>2025-08-16</t>
  </si>
  <si>
    <t>Ira Sharma</t>
  </si>
  <si>
    <t>+91-7464643713</t>
  </si>
  <si>
    <t>BSH0110</t>
  </si>
  <si>
    <t>2025-03-17</t>
  </si>
  <si>
    <t>Vikram Yadav</t>
  </si>
  <si>
    <t>+91-9793239963</t>
  </si>
  <si>
    <t>BSH0111</t>
  </si>
  <si>
    <t>2024-12-31</t>
  </si>
  <si>
    <t>Manoj Malhotra</t>
  </si>
  <si>
    <t>+91-8581869663</t>
  </si>
  <si>
    <t>BSH0112</t>
  </si>
  <si>
    <t>Aditya Nair</t>
  </si>
  <si>
    <t>+91-8780438558</t>
  </si>
  <si>
    <t>BSH0113</t>
  </si>
  <si>
    <t>+91-8709454938</t>
  </si>
  <si>
    <t>BSH0114</t>
  </si>
  <si>
    <t>Manoj Nair</t>
  </si>
  <si>
    <t>+91-8251262387</t>
  </si>
  <si>
    <t>BSH0115</t>
  </si>
  <si>
    <t>Myra Bansal</t>
  </si>
  <si>
    <t>+91-7717361375</t>
  </si>
  <si>
    <t>BSH0116</t>
  </si>
  <si>
    <t>Ishaan Mehta</t>
  </si>
  <si>
    <t>+91-9182493728</t>
  </si>
  <si>
    <t>BSH0117</t>
  </si>
  <si>
    <t>+91-9224334364</t>
  </si>
  <si>
    <t>BSH0118</t>
  </si>
  <si>
    <t>2025-03-28</t>
  </si>
  <si>
    <t>Aadhya Kumar</t>
  </si>
  <si>
    <t>+91-7993460477</t>
  </si>
  <si>
    <t>BSH0119</t>
  </si>
  <si>
    <t>Amit Gupta</t>
  </si>
  <si>
    <t>+91-9149448403</t>
  </si>
  <si>
    <t>BSH0120</t>
  </si>
  <si>
    <t>2025-01-06</t>
  </si>
  <si>
    <t>Rohan Pillai</t>
  </si>
  <si>
    <t>+91-9920089739</t>
  </si>
  <si>
    <t>BSH0121</t>
  </si>
  <si>
    <t>Ayaan Nair</t>
  </si>
  <si>
    <t>+91-8373140693</t>
  </si>
  <si>
    <t>BSH0122</t>
  </si>
  <si>
    <t>Kavya Pillai</t>
  </si>
  <si>
    <t>+91-9827410865</t>
  </si>
  <si>
    <t>BSH0123</t>
  </si>
  <si>
    <t>Karan Mehta</t>
  </si>
  <si>
    <t>+91-9084494740</t>
  </si>
  <si>
    <t>BSH0124</t>
  </si>
  <si>
    <t>Amit Malhotra</t>
  </si>
  <si>
    <t>+91-9048926633</t>
  </si>
  <si>
    <t>BSH0125</t>
  </si>
  <si>
    <t>Anjali Verma</t>
  </si>
  <si>
    <t>+91-9709047899</t>
  </si>
  <si>
    <t>BSH0126</t>
  </si>
  <si>
    <t>Ayaan Joshi</t>
  </si>
  <si>
    <t>+91-7630151562</t>
  </si>
  <si>
    <t>BSH0127</t>
  </si>
  <si>
    <t>+91-8305749374</t>
  </si>
  <si>
    <t>BSH0128</t>
  </si>
  <si>
    <t>Swati Gupta</t>
  </si>
  <si>
    <t>+91-7696315173</t>
  </si>
  <si>
    <t>BSH0129</t>
  </si>
  <si>
    <t>Sanjay Chauhan</t>
  </si>
  <si>
    <t>+91-9326943816</t>
  </si>
  <si>
    <t>BSH0130</t>
  </si>
  <si>
    <t>Anika Yadav</t>
  </si>
  <si>
    <t>+91-9279763038</t>
  </si>
  <si>
    <t>BSH0131</t>
  </si>
  <si>
    <t>Pooja Reddy</t>
  </si>
  <si>
    <t>+91-9935229892</t>
  </si>
  <si>
    <t>BSH0132</t>
  </si>
  <si>
    <t>2025-01-23</t>
  </si>
  <si>
    <t>+91-7793869084</t>
  </si>
  <si>
    <t>BSH0133</t>
  </si>
  <si>
    <t>Ira Nair</t>
  </si>
  <si>
    <t>+91-9993416902</t>
  </si>
  <si>
    <t>BSH0134</t>
  </si>
  <si>
    <t>Ananya Mehta</t>
  </si>
  <si>
    <t>+91-8884067504</t>
  </si>
  <si>
    <t>BSH0135</t>
  </si>
  <si>
    <t>2025-01-05</t>
  </si>
  <si>
    <t>+91-8094048323</t>
  </si>
  <si>
    <t>BSH0136</t>
  </si>
  <si>
    <t>Suresh Chopra</t>
  </si>
  <si>
    <t>+91-8269299760</t>
  </si>
  <si>
    <t>BSH0137</t>
  </si>
  <si>
    <t>2025-10-21</t>
  </si>
  <si>
    <t>+91-7481645893</t>
  </si>
  <si>
    <t>BSH0138</t>
  </si>
  <si>
    <t>Sanjay Pillai</t>
  </si>
  <si>
    <t>+91-7188698822</t>
  </si>
  <si>
    <t>BSH0139</t>
  </si>
  <si>
    <t>Vikram Chopra</t>
  </si>
  <si>
    <t>+91-8899278293</t>
  </si>
  <si>
    <t>BSH0140</t>
  </si>
  <si>
    <t>Aadhya Yadav</t>
  </si>
  <si>
    <t>+91-8849557040</t>
  </si>
  <si>
    <t>BSH0141</t>
  </si>
  <si>
    <t>Sai Kumar</t>
  </si>
  <si>
    <t>+91-8034788277</t>
  </si>
  <si>
    <t>BSH0142</t>
  </si>
  <si>
    <t>2025-03-30</t>
  </si>
  <si>
    <t>+91-8395722728</t>
  </si>
  <si>
    <t>BSH0143</t>
  </si>
  <si>
    <t>Anjali Mehta</t>
  </si>
  <si>
    <t>+91-9853070067</t>
  </si>
  <si>
    <t>BSH0144</t>
  </si>
  <si>
    <t>2025-09-03</t>
  </si>
  <si>
    <t>Priya Chopra</t>
  </si>
  <si>
    <t>+91-7598568765</t>
  </si>
  <si>
    <t>BSH0145</t>
  </si>
  <si>
    <t>Manoj Bansal</t>
  </si>
  <si>
    <t>+91-9325294762</t>
  </si>
  <si>
    <t>BSH0146</t>
  </si>
  <si>
    <t>2025-04-03</t>
  </si>
  <si>
    <t>Reyansh Agarwal</t>
  </si>
  <si>
    <t>+91-8061458717</t>
  </si>
  <si>
    <t>BSH0147</t>
  </si>
  <si>
    <t>Rahul Verma</t>
  </si>
  <si>
    <t>+91-7514338908</t>
  </si>
  <si>
    <t>BSH0148</t>
  </si>
  <si>
    <t>2025-01-28</t>
  </si>
  <si>
    <t>Ananya Rao</t>
  </si>
  <si>
    <t>+91-8564725153</t>
  </si>
  <si>
    <t>BSH0149</t>
  </si>
  <si>
    <t>Anika Malhotra</t>
  </si>
  <si>
    <t>+91-7808530406</t>
  </si>
  <si>
    <t>BSH0150</t>
  </si>
  <si>
    <t>2025-01-30</t>
  </si>
  <si>
    <t>Ayaan Kumar</t>
  </si>
  <si>
    <t>+91-8682417451</t>
  </si>
  <si>
    <t>BSH0151</t>
  </si>
  <si>
    <t>Reyansh Chopra</t>
  </si>
  <si>
    <t>+91-7948364478</t>
  </si>
  <si>
    <t>BSH0152</t>
  </si>
  <si>
    <t>Ravi Singh</t>
  </si>
  <si>
    <t>+91-8179967049</t>
  </si>
  <si>
    <t>BSH0153</t>
  </si>
  <si>
    <t>+91-9716321458</t>
  </si>
  <si>
    <t>BSH0154</t>
  </si>
  <si>
    <t>Sneha Malhotra</t>
  </si>
  <si>
    <t>+91-9756017257</t>
  </si>
  <si>
    <t>BSH0155</t>
  </si>
  <si>
    <t>Suresh Singh</t>
  </si>
  <si>
    <t>+91-8845258116</t>
  </si>
  <si>
    <t>BSH0156</t>
  </si>
  <si>
    <t>2025-01-14</t>
  </si>
  <si>
    <t>Ananya Chopra</t>
  </si>
  <si>
    <t>+91-8888418022</t>
  </si>
  <si>
    <t>BSH0157</t>
  </si>
  <si>
    <t>+91-8022042828</t>
  </si>
  <si>
    <t>BSH0158</t>
  </si>
  <si>
    <t>Saanvi Patel</t>
  </si>
  <si>
    <t>+91-9349733458</t>
  </si>
  <si>
    <t>BSH0159</t>
  </si>
  <si>
    <t>Kavya Yadav</t>
  </si>
  <si>
    <t>+91-7745239757</t>
  </si>
  <si>
    <t>BSH0160</t>
  </si>
  <si>
    <t>Aditya Chopra</t>
  </si>
  <si>
    <t>+91-7170257612</t>
  </si>
  <si>
    <t>BSH0161</t>
  </si>
  <si>
    <t>+91-7816865330</t>
  </si>
  <si>
    <t>BSH0162</t>
  </si>
  <si>
    <t>Krishna Malhotra</t>
  </si>
  <si>
    <t>+91-8301069471</t>
  </si>
  <si>
    <t>BSH0163</t>
  </si>
  <si>
    <t>Manoj Patel</t>
  </si>
  <si>
    <t>+91-8704911791</t>
  </si>
  <si>
    <t>BSH0164</t>
  </si>
  <si>
    <t>Sai Kapoor</t>
  </si>
  <si>
    <t>+91-8934179970</t>
  </si>
  <si>
    <t>BSH0165</t>
  </si>
  <si>
    <t>Kavya Iyer</t>
  </si>
  <si>
    <t>+91-9751669525</t>
  </si>
  <si>
    <t>BSH0166</t>
  </si>
  <si>
    <t>+91-7726034746</t>
  </si>
  <si>
    <t>BSH0167</t>
  </si>
  <si>
    <t>Neha Nair</t>
  </si>
  <si>
    <t>+91-7933238330</t>
  </si>
  <si>
    <t>BSH0168</t>
  </si>
  <si>
    <t>Riya Mehta</t>
  </si>
  <si>
    <t>+91-9409824318</t>
  </si>
  <si>
    <t>BSH0169</t>
  </si>
  <si>
    <t>2025-03-31</t>
  </si>
  <si>
    <t>Sneha Patel</t>
  </si>
  <si>
    <t>+91-9420772290</t>
  </si>
  <si>
    <t>BSH0170</t>
  </si>
  <si>
    <t>Deepak Pillai</t>
  </si>
  <si>
    <t>+91-8990124552</t>
  </si>
  <si>
    <t>BSH0171</t>
  </si>
  <si>
    <t>2025-01-03</t>
  </si>
  <si>
    <t>Aarav Agarwal</t>
  </si>
  <si>
    <t>+91-8247368200</t>
  </si>
  <si>
    <t>BSH0172</t>
  </si>
  <si>
    <t>Swati Rao</t>
  </si>
  <si>
    <t>+91-8067636779</t>
  </si>
  <si>
    <t>BSH0173</t>
  </si>
  <si>
    <t>Shreya Malhotra</t>
  </si>
  <si>
    <t>+91-8695577799</t>
  </si>
  <si>
    <t>BSH0174</t>
  </si>
  <si>
    <t>+91-8341959075</t>
  </si>
  <si>
    <t>BSH0175</t>
  </si>
  <si>
    <t>Sneha Gupta</t>
  </si>
  <si>
    <t>+91-7559457542</t>
  </si>
  <si>
    <t>BSH0176</t>
  </si>
  <si>
    <t>Rohan Bansal</t>
  </si>
  <si>
    <t>+91-7950077057</t>
  </si>
  <si>
    <t>BSH0177</t>
  </si>
  <si>
    <t>Anika Sharma</t>
  </si>
  <si>
    <t>+91-9580910364</t>
  </si>
  <si>
    <t>BSH0178</t>
  </si>
  <si>
    <t>Anjali Yadav</t>
  </si>
  <si>
    <t>+91-7871694778</t>
  </si>
  <si>
    <t>BSH0179</t>
  </si>
  <si>
    <t>Vivaan Patel</t>
  </si>
  <si>
    <t>+91-7249432352</t>
  </si>
  <si>
    <t>BSH0180</t>
  </si>
  <si>
    <t>Ishaan Rao</t>
  </si>
  <si>
    <t>+91-8159446103</t>
  </si>
  <si>
    <t>BSH0181</t>
  </si>
  <si>
    <t>2025-04-02</t>
  </si>
  <si>
    <t>+91-7721061903</t>
  </si>
  <si>
    <t>BSH0182</t>
  </si>
  <si>
    <t>Aarav Kapoor</t>
  </si>
  <si>
    <t>+91-7995064837</t>
  </si>
  <si>
    <t>BSH0183</t>
  </si>
  <si>
    <t>Vivaan Rao</t>
  </si>
  <si>
    <t>+91-7286632736</t>
  </si>
  <si>
    <t>BSH0184</t>
  </si>
  <si>
    <t>2025-10-04</t>
  </si>
  <si>
    <t>Kavya Chopra</t>
  </si>
  <si>
    <t>+91-8100662847</t>
  </si>
  <si>
    <t>BSH0185</t>
  </si>
  <si>
    <t>Deepak Sharma</t>
  </si>
  <si>
    <t>+91-8118730433</t>
  </si>
  <si>
    <t>BSH0186</t>
  </si>
  <si>
    <t>Aadhya Mehta</t>
  </si>
  <si>
    <t>+91-7709363104</t>
  </si>
  <si>
    <t>BSH0187</t>
  </si>
  <si>
    <t>2025-09-26</t>
  </si>
  <si>
    <t>Meera Mehta</t>
  </si>
  <si>
    <t>+91-8751942276</t>
  </si>
  <si>
    <t>BSH0188</t>
  </si>
  <si>
    <t>Divya Kumar</t>
  </si>
  <si>
    <t>+91-8018311966</t>
  </si>
  <si>
    <t>BSH0189</t>
  </si>
  <si>
    <t>Rahul Gupta</t>
  </si>
  <si>
    <t>+91-9355050799</t>
  </si>
  <si>
    <t>BSH0190</t>
  </si>
  <si>
    <t>Karan Sharma</t>
  </si>
  <si>
    <t>+91-8201299079</t>
  </si>
  <si>
    <t>BSH0191</t>
  </si>
  <si>
    <t>+91-9990689811</t>
  </si>
  <si>
    <t>BSH0192</t>
  </si>
  <si>
    <t>Sanjay Singh</t>
  </si>
  <si>
    <t>+91-8849939839</t>
  </si>
  <si>
    <t>BSH0193</t>
  </si>
  <si>
    <t>Aditya Yadav</t>
  </si>
  <si>
    <t>+91-8990216205</t>
  </si>
  <si>
    <t>BSH0194</t>
  </si>
  <si>
    <t>Shreya Rao</t>
  </si>
  <si>
    <t>+91-7921379117</t>
  </si>
  <si>
    <t>BSH0195</t>
  </si>
  <si>
    <t>Navya Bansal</t>
  </si>
  <si>
    <t>+91-9774026730</t>
  </si>
  <si>
    <t>BSH0196</t>
  </si>
  <si>
    <t>2025-09-22</t>
  </si>
  <si>
    <t>Vihaan Singh</t>
  </si>
  <si>
    <t>+91-8172555512</t>
  </si>
  <si>
    <t>BSH0197</t>
  </si>
  <si>
    <t>Aarav Bansal</t>
  </si>
  <si>
    <t>+91-9265968331</t>
  </si>
  <si>
    <t>BSH0198</t>
  </si>
  <si>
    <t>Navya Singh</t>
  </si>
  <si>
    <t>+91-9218497363</t>
  </si>
  <si>
    <t>BSH0199</t>
  </si>
  <si>
    <t>Deepak Iyer</t>
  </si>
  <si>
    <t>+91-7645924495</t>
  </si>
  <si>
    <t>BSH0200</t>
  </si>
  <si>
    <t>+91-9459073638</t>
  </si>
  <si>
    <t>BSH0201</t>
  </si>
  <si>
    <t>Aarav Mehta</t>
  </si>
  <si>
    <t>+91-7298094476</t>
  </si>
  <si>
    <t>BSH0202</t>
  </si>
  <si>
    <t>Sneha Singh</t>
  </si>
  <si>
    <t>+91-7334850678</t>
  </si>
  <si>
    <t>BSH0203</t>
  </si>
  <si>
    <t>Vihaan Verma</t>
  </si>
  <si>
    <t>+91-7351384300</t>
  </si>
  <si>
    <t>BSH0204</t>
  </si>
  <si>
    <t>+91-7536228127</t>
  </si>
  <si>
    <t>BSH0205</t>
  </si>
  <si>
    <t>Navya Kumar</t>
  </si>
  <si>
    <t>+91-7928119436</t>
  </si>
  <si>
    <t>BSH0206</t>
  </si>
  <si>
    <t>Riya Yadav</t>
  </si>
  <si>
    <t>+91-9212655626</t>
  </si>
  <si>
    <t>BSH0207</t>
  </si>
  <si>
    <t>Swati Pillai</t>
  </si>
  <si>
    <t>+91-7266817865</t>
  </si>
  <si>
    <t>BSH0208</t>
  </si>
  <si>
    <t>2025-09-24</t>
  </si>
  <si>
    <t>Sneha Sharma</t>
  </si>
  <si>
    <t>+91-9779034752</t>
  </si>
  <si>
    <t>BSH0209</t>
  </si>
  <si>
    <t>+91-7374339785</t>
  </si>
  <si>
    <t>BSH0210</t>
  </si>
  <si>
    <t>Neha Rao</t>
  </si>
  <si>
    <t>+91-8815470051</t>
  </si>
  <si>
    <t>BSH0211</t>
  </si>
  <si>
    <t>Priya Chauhan</t>
  </si>
  <si>
    <t>+91-8662125022</t>
  </si>
  <si>
    <t>BSH0212</t>
  </si>
  <si>
    <t>2025-10-01</t>
  </si>
  <si>
    <t>+91-7188562999</t>
  </si>
  <si>
    <t>BSH0213</t>
  </si>
  <si>
    <t>2025-03-13</t>
  </si>
  <si>
    <t>+91-9035436424</t>
  </si>
  <si>
    <t>BSH0214</t>
  </si>
  <si>
    <t>2025-09-20</t>
  </si>
  <si>
    <t>Suresh Mehta</t>
  </si>
  <si>
    <t>+91-8681578774</t>
  </si>
  <si>
    <t>BSH0215</t>
  </si>
  <si>
    <t>+91-7632968558</t>
  </si>
  <si>
    <t>BSH0216</t>
  </si>
  <si>
    <t>+91-9868542802</t>
  </si>
  <si>
    <t>BSH0217</t>
  </si>
  <si>
    <t>Arjun Singh</t>
  </si>
  <si>
    <t>+91-9032994500</t>
  </si>
  <si>
    <t>BSH0218</t>
  </si>
  <si>
    <t>Krishna Yadav</t>
  </si>
  <si>
    <t>+91-9046715722</t>
  </si>
  <si>
    <t>BSH0219</t>
  </si>
  <si>
    <t>2025-10-22</t>
  </si>
  <si>
    <t>Meera Agarwal</t>
  </si>
  <si>
    <t>+91-8093739703</t>
  </si>
  <si>
    <t>BSH0220</t>
  </si>
  <si>
    <t>+91-8864385173</t>
  </si>
  <si>
    <t>BSH0221</t>
  </si>
  <si>
    <t>Ravi Rao</t>
  </si>
  <si>
    <t>+91-9860028499</t>
  </si>
  <si>
    <t>BSH0222</t>
  </si>
  <si>
    <t>Vihaan Joshi</t>
  </si>
  <si>
    <t>+91-9201252362</t>
  </si>
  <si>
    <t>BSH0223</t>
  </si>
  <si>
    <t>Myra Kapoor</t>
  </si>
  <si>
    <t>+91-8297884544</t>
  </si>
  <si>
    <t>BSH0224</t>
  </si>
  <si>
    <t>Arjun Reddy</t>
  </si>
  <si>
    <t>+91-8911520489</t>
  </si>
  <si>
    <t>BSH0225</t>
  </si>
  <si>
    <t>Ananya Singh</t>
  </si>
  <si>
    <t>+91-7903943756</t>
  </si>
  <si>
    <t>BSH0226</t>
  </si>
  <si>
    <t>2025-01-26</t>
  </si>
  <si>
    <t>Swati Iyer</t>
  </si>
  <si>
    <t>+91-9831375787</t>
  </si>
  <si>
    <t>BSH0227</t>
  </si>
  <si>
    <t>Krishna Sharma</t>
  </si>
  <si>
    <t>+91-7616645472</t>
  </si>
  <si>
    <t>BSH0228</t>
  </si>
  <si>
    <t>Karan Verma</t>
  </si>
  <si>
    <t>+91-9828864299</t>
  </si>
  <si>
    <t>BSH0229</t>
  </si>
  <si>
    <t>Ananya Yadav</t>
  </si>
  <si>
    <t>+91-9143351082</t>
  </si>
  <si>
    <t>BSH0230</t>
  </si>
  <si>
    <t>Saanvi Mehta</t>
  </si>
  <si>
    <t>+91-8386855102</t>
  </si>
  <si>
    <t>BSH0231</t>
  </si>
  <si>
    <t>Anjali Kapoor</t>
  </si>
  <si>
    <t>+91-8832746472</t>
  </si>
  <si>
    <t>BSH0232</t>
  </si>
  <si>
    <t>+91-9479121784</t>
  </si>
  <si>
    <t>BSH0233</t>
  </si>
  <si>
    <t>Karan Singh</t>
  </si>
  <si>
    <t>+91-8731713806</t>
  </si>
  <si>
    <t>BSH0234</t>
  </si>
  <si>
    <t>+91-7214494601</t>
  </si>
  <si>
    <t>BSH0235</t>
  </si>
  <si>
    <t>2025-09-02</t>
  </si>
  <si>
    <t>Manoj Sharma</t>
  </si>
  <si>
    <t>+91-7859566858</t>
  </si>
  <si>
    <t>BSH0236</t>
  </si>
  <si>
    <t>Pooja Nair</t>
  </si>
  <si>
    <t>+91-9462627894</t>
  </si>
  <si>
    <t>BSH0237</t>
  </si>
  <si>
    <t>Amit Yadav</t>
  </si>
  <si>
    <t>+91-7170837501</t>
  </si>
  <si>
    <t>BSH0238</t>
  </si>
  <si>
    <t>Aarav Kumar</t>
  </si>
  <si>
    <t>+91-9987149676</t>
  </si>
  <si>
    <t>BSH0239</t>
  </si>
  <si>
    <t>Diya Verma</t>
  </si>
  <si>
    <t>+91-8917840750</t>
  </si>
  <si>
    <t>BSH0240</t>
  </si>
  <si>
    <t>Ayaan Patel</t>
  </si>
  <si>
    <t>+91-8596927800</t>
  </si>
  <si>
    <t>BSH0241</t>
  </si>
  <si>
    <t>Sneha Mehta</t>
  </si>
  <si>
    <t>+91-9751175046</t>
  </si>
  <si>
    <t>BSH0242</t>
  </si>
  <si>
    <t>Rahul Bansal</t>
  </si>
  <si>
    <t>+91-7156863493</t>
  </si>
  <si>
    <t>BSH0243</t>
  </si>
  <si>
    <t>Deepak Chopra</t>
  </si>
  <si>
    <t>+91-8382651715</t>
  </si>
  <si>
    <t>BSH0244</t>
  </si>
  <si>
    <t>2025-09-10</t>
  </si>
  <si>
    <t>Manoj Pillai</t>
  </si>
  <si>
    <t>+91-9392059409</t>
  </si>
  <si>
    <t>BSH0245</t>
  </si>
  <si>
    <t>Anjali Joshi</t>
  </si>
  <si>
    <t>+91-8492585721</t>
  </si>
  <si>
    <t>BSH0246</t>
  </si>
  <si>
    <t>Saanvi Gupta</t>
  </si>
  <si>
    <t>+91-8289478977</t>
  </si>
  <si>
    <t>BSH0247</t>
  </si>
  <si>
    <t>2025-03-16</t>
  </si>
  <si>
    <t>Sneha Yadav</t>
  </si>
  <si>
    <t>+91-8561784803</t>
  </si>
  <si>
    <t>BSH0248</t>
  </si>
  <si>
    <t>Ira Singh</t>
  </si>
  <si>
    <t>+91-9098895470</t>
  </si>
  <si>
    <t>BSH0249</t>
  </si>
  <si>
    <t>Saanvi Bansal</t>
  </si>
  <si>
    <t>+91-8708349636</t>
  </si>
  <si>
    <t>BSH0250</t>
  </si>
  <si>
    <t>Sneha Kumar</t>
  </si>
  <si>
    <t>+91-7019399152</t>
  </si>
  <si>
    <t>BSH0251</t>
  </si>
  <si>
    <t>2025-08-15</t>
  </si>
  <si>
    <t>Aarav Yadav</t>
  </si>
  <si>
    <t>+91-7850817567</t>
  </si>
  <si>
    <t>BSH0252</t>
  </si>
  <si>
    <t>+91-9814421643</t>
  </si>
  <si>
    <t>BSH0253</t>
  </si>
  <si>
    <t>+91-9123989618</t>
  </si>
  <si>
    <t>BSH0254</t>
  </si>
  <si>
    <t>Diya Gupta</t>
  </si>
  <si>
    <t>+91-7261968394</t>
  </si>
  <si>
    <t>BSH0255</t>
  </si>
  <si>
    <t>Navya Malhotra</t>
  </si>
  <si>
    <t>+91-8551933098</t>
  </si>
  <si>
    <t>BSH0256</t>
  </si>
  <si>
    <t>2025-09-08</t>
  </si>
  <si>
    <t>Kavya Verma</t>
  </si>
  <si>
    <t>+91-9227748532</t>
  </si>
  <si>
    <t>BSH0257</t>
  </si>
  <si>
    <t>+91-8488517209</t>
  </si>
  <si>
    <t>BSH0258</t>
  </si>
  <si>
    <t>Ananya Joshi</t>
  </si>
  <si>
    <t>+91-7623477924</t>
  </si>
  <si>
    <t>BSH0259</t>
  </si>
  <si>
    <t>+91-9902565079</t>
  </si>
  <si>
    <t>BSH0260</t>
  </si>
  <si>
    <t>Kavya Mehta</t>
  </si>
  <si>
    <t>+91-8521196025</t>
  </si>
  <si>
    <t>BSH0261</t>
  </si>
  <si>
    <t>+91-9698052408</t>
  </si>
  <si>
    <t>BSH0262</t>
  </si>
  <si>
    <t>Amit Reddy</t>
  </si>
  <si>
    <t>+91-7189133610</t>
  </si>
  <si>
    <t>BSH0263</t>
  </si>
  <si>
    <t>+91-9208098468</t>
  </si>
  <si>
    <t>BSH0264</t>
  </si>
  <si>
    <t>+91-8358839329</t>
  </si>
  <si>
    <t>BSH0265</t>
  </si>
  <si>
    <t>+91-9612251776</t>
  </si>
  <si>
    <t>BSH0266</t>
  </si>
  <si>
    <t>+91-7511193988</t>
  </si>
  <si>
    <t>BSH0267</t>
  </si>
  <si>
    <t>Ayaan Verma</t>
  </si>
  <si>
    <t>+91-9714856113</t>
  </si>
  <si>
    <t>BSH0268</t>
  </si>
  <si>
    <t>+91-8958786534</t>
  </si>
  <si>
    <t>BSH0269</t>
  </si>
  <si>
    <t>+91-7636929951</t>
  </si>
  <si>
    <t>BSH0270</t>
  </si>
  <si>
    <t>Sanjay Gupta</t>
  </si>
  <si>
    <t>+91-9371383292</t>
  </si>
  <si>
    <t>BSH0271</t>
  </si>
  <si>
    <t>+91-8360985758</t>
  </si>
  <si>
    <t>BSH0272</t>
  </si>
  <si>
    <t>Sanjay Kumar</t>
  </si>
  <si>
    <t>+91-7856122322</t>
  </si>
  <si>
    <t>BSH0273</t>
  </si>
  <si>
    <t>Aditya Bansal</t>
  </si>
  <si>
    <t>+91-7839658090</t>
  </si>
  <si>
    <t>BSH0274</t>
  </si>
  <si>
    <t>Aarav Patel</t>
  </si>
  <si>
    <t>+91-7175874015</t>
  </si>
  <si>
    <t>BSH0275</t>
  </si>
  <si>
    <t>Ayaan Iyer</t>
  </si>
  <si>
    <t>+91-8867125827</t>
  </si>
  <si>
    <t>BSH0276</t>
  </si>
  <si>
    <t>Shreya Singh</t>
  </si>
  <si>
    <t>+91-9669449794</t>
  </si>
  <si>
    <t>BSH0277</t>
  </si>
  <si>
    <t>+91-7495555130</t>
  </si>
  <si>
    <t>BSH0278</t>
  </si>
  <si>
    <t>+91-9462389102</t>
  </si>
  <si>
    <t>BSH0279</t>
  </si>
  <si>
    <t>+91-9714549710</t>
  </si>
  <si>
    <t>BSH0280</t>
  </si>
  <si>
    <t>Arjun Nair</t>
  </si>
  <si>
    <t>+91-9459940420</t>
  </si>
  <si>
    <t>BSH0281</t>
  </si>
  <si>
    <t>Kiara Chopra</t>
  </si>
  <si>
    <t>+91-7285439929</t>
  </si>
  <si>
    <t>BSH0282</t>
  </si>
  <si>
    <t>Ira Kumar</t>
  </si>
  <si>
    <t>+91-8099081487</t>
  </si>
  <si>
    <t>BSH0283</t>
  </si>
  <si>
    <t>Anika Chauhan</t>
  </si>
  <si>
    <t>+91-9644841684</t>
  </si>
  <si>
    <t>BSH0284</t>
  </si>
  <si>
    <t>2025-09-07</t>
  </si>
  <si>
    <t>Shreya Chopra</t>
  </si>
  <si>
    <t>+91-8011175493</t>
  </si>
  <si>
    <t>BSH0285</t>
  </si>
  <si>
    <t>Divya Nair</t>
  </si>
  <si>
    <t>+91-9413656177</t>
  </si>
  <si>
    <t>BSH0286</t>
  </si>
  <si>
    <t>Riya Nair</t>
  </si>
  <si>
    <t>+91-7969357424</t>
  </si>
  <si>
    <t>BSH0287</t>
  </si>
  <si>
    <t>Ayaan Chauhan</t>
  </si>
  <si>
    <t>+91-8235968685</t>
  </si>
  <si>
    <t>BSH0288</t>
  </si>
  <si>
    <t>2025-09-21</t>
  </si>
  <si>
    <t>Rahul Yadav</t>
  </si>
  <si>
    <t>+91-8889976583</t>
  </si>
  <si>
    <t>BSH0289</t>
  </si>
  <si>
    <t>+91-9637598669</t>
  </si>
  <si>
    <t>BSH0290</t>
  </si>
  <si>
    <t>Sneha Verma</t>
  </si>
  <si>
    <t>+91-7531350370</t>
  </si>
  <si>
    <t>BSH0291</t>
  </si>
  <si>
    <t>Rahul Pillai</t>
  </si>
  <si>
    <t>+91-8051567448</t>
  </si>
  <si>
    <t>BSH0292</t>
  </si>
  <si>
    <t>Priya Malhotra</t>
  </si>
  <si>
    <t>+91-9087630951</t>
  </si>
  <si>
    <t>BSH0293</t>
  </si>
  <si>
    <t>Sneha Iyer</t>
  </si>
  <si>
    <t>+91-9789992600</t>
  </si>
  <si>
    <t>BSH0294</t>
  </si>
  <si>
    <t>Arjun Chauhan</t>
  </si>
  <si>
    <t>+91-7315889005</t>
  </si>
  <si>
    <t>BSH0295</t>
  </si>
  <si>
    <t>+91-8637754149</t>
  </si>
  <si>
    <t>BSH0296</t>
  </si>
  <si>
    <t>+91-8645310407</t>
  </si>
  <si>
    <t>BSH0297</t>
  </si>
  <si>
    <t>Priya Patel</t>
  </si>
  <si>
    <t>+91-9943647041</t>
  </si>
  <si>
    <t>BSH0298</t>
  </si>
  <si>
    <t>+91-7698239342</t>
  </si>
  <si>
    <t>BSH0299</t>
  </si>
  <si>
    <t>Krishna Kapoor</t>
  </si>
  <si>
    <t>+91-7901375977</t>
  </si>
  <si>
    <t>BSH0300</t>
  </si>
  <si>
    <t>Diya Bansal</t>
  </si>
  <si>
    <t>+91-8862740184</t>
  </si>
  <si>
    <t>BSH0301</t>
  </si>
  <si>
    <t>+91-9374121733</t>
  </si>
  <si>
    <t>BSH0302</t>
  </si>
  <si>
    <t>Arjun Agarwal</t>
  </si>
  <si>
    <t>+91-8886127529</t>
  </si>
  <si>
    <t>BSH0303</t>
  </si>
  <si>
    <t>Arjun Bansal</t>
  </si>
  <si>
    <t>+91-7054167490</t>
  </si>
  <si>
    <t>BSH0304</t>
  </si>
  <si>
    <t>2025-03-11</t>
  </si>
  <si>
    <t>+91-7673864776</t>
  </si>
  <si>
    <t>BSH0305</t>
  </si>
  <si>
    <t>2025-10-19</t>
  </si>
  <si>
    <t>Saanvi Malhotra</t>
  </si>
  <si>
    <t>+91-9945713851</t>
  </si>
  <si>
    <t>BSH0306</t>
  </si>
  <si>
    <t>Krishna Patel</t>
  </si>
  <si>
    <t>+91-8731183848</t>
  </si>
  <si>
    <t>BSH0307</t>
  </si>
  <si>
    <t>Kiara Singh</t>
  </si>
  <si>
    <t>+91-9660367236</t>
  </si>
  <si>
    <t>BSH0308</t>
  </si>
  <si>
    <t>Aditya Reddy</t>
  </si>
  <si>
    <t>+91-9913185082</t>
  </si>
  <si>
    <t>BSH0309</t>
  </si>
  <si>
    <t>Reyansh Patel</t>
  </si>
  <si>
    <t>+91-8937326546</t>
  </si>
  <si>
    <t>BSH0310</t>
  </si>
  <si>
    <t>Pooja Agarwal</t>
  </si>
  <si>
    <t>+91-8985328582</t>
  </si>
  <si>
    <t>BSH0311</t>
  </si>
  <si>
    <t>Aditya Rao</t>
  </si>
  <si>
    <t>+91-7307336231</t>
  </si>
  <si>
    <t>BSH0312</t>
  </si>
  <si>
    <t>Manoj Verma</t>
  </si>
  <si>
    <t>+91-7502771330</t>
  </si>
  <si>
    <t>BSH0313</t>
  </si>
  <si>
    <t>Kiara Sharma</t>
  </si>
  <si>
    <t>+91-7236313894</t>
  </si>
  <si>
    <t>BSH0314</t>
  </si>
  <si>
    <t>+91-7613976454</t>
  </si>
  <si>
    <t>BSH0315</t>
  </si>
  <si>
    <t>Reyansh Gupta</t>
  </si>
  <si>
    <t>+91-9392641317</t>
  </si>
  <si>
    <t>BSH0316</t>
  </si>
  <si>
    <t>+91-7258319829</t>
  </si>
  <si>
    <t>BSH0317</t>
  </si>
  <si>
    <t>+91-9348314013</t>
  </si>
  <si>
    <t>BSH0318</t>
  </si>
  <si>
    <t>+91-7310331251</t>
  </si>
  <si>
    <t>BSH0319</t>
  </si>
  <si>
    <t>Vikram Chauhan</t>
  </si>
  <si>
    <t>+91-9904156765</t>
  </si>
  <si>
    <t>BSH0320</t>
  </si>
  <si>
    <t>Aadhya Gupta</t>
  </si>
  <si>
    <t>+91-8760525972</t>
  </si>
  <si>
    <t>BSH0321</t>
  </si>
  <si>
    <t>+91-7941711786</t>
  </si>
  <si>
    <t>BSH0322</t>
  </si>
  <si>
    <t>Diya Nair</t>
  </si>
  <si>
    <t>+91-7090622027</t>
  </si>
  <si>
    <t>BSH0323</t>
  </si>
  <si>
    <t>+91-7047619627</t>
  </si>
  <si>
    <t>BSH0324</t>
  </si>
  <si>
    <t>Myra Malhotra</t>
  </si>
  <si>
    <t>+91-9283132704</t>
  </si>
  <si>
    <t>BSH0325</t>
  </si>
  <si>
    <t>+91-9047611285</t>
  </si>
  <si>
    <t>BSH0326</t>
  </si>
  <si>
    <t>Kiara Nair</t>
  </si>
  <si>
    <t>+91-9137221658</t>
  </si>
  <si>
    <t>BSH0327</t>
  </si>
  <si>
    <t>+91-9582042983</t>
  </si>
  <si>
    <t>BSH0328</t>
  </si>
  <si>
    <t>Rahul Rao</t>
  </si>
  <si>
    <t>+91-9499060355</t>
  </si>
  <si>
    <t>BSH0329</t>
  </si>
  <si>
    <t>Riya Agarwal</t>
  </si>
  <si>
    <t>+91-7379524402</t>
  </si>
  <si>
    <t>BSH0330</t>
  </si>
  <si>
    <t>Ayaan Reddy</t>
  </si>
  <si>
    <t>+91-7222544876</t>
  </si>
  <si>
    <t>BSH0331</t>
  </si>
  <si>
    <t>Divya Pillai</t>
  </si>
  <si>
    <t>+91-9851559311</t>
  </si>
  <si>
    <t>BSH0332</t>
  </si>
  <si>
    <t>+91-8535170415</t>
  </si>
  <si>
    <t>BSH0333</t>
  </si>
  <si>
    <t>+91-7589776785</t>
  </si>
  <si>
    <t>BSH0334</t>
  </si>
  <si>
    <t>+91-8269252206</t>
  </si>
  <si>
    <t>BSH0335</t>
  </si>
  <si>
    <t>Ravi Kapoor</t>
  </si>
  <si>
    <t>+91-7460335104</t>
  </si>
  <si>
    <t>BSH0336</t>
  </si>
  <si>
    <t>Pooja Mehta</t>
  </si>
  <si>
    <t>+91-8676574500</t>
  </si>
  <si>
    <t>BSH0337</t>
  </si>
  <si>
    <t>Anika Singh</t>
  </si>
  <si>
    <t>+91-8124464140</t>
  </si>
  <si>
    <t>BSH0338</t>
  </si>
  <si>
    <t>Kiara Kumar</t>
  </si>
  <si>
    <t>+91-7855441514</t>
  </si>
  <si>
    <t>BSH0339</t>
  </si>
  <si>
    <t>Vikram Malhotra</t>
  </si>
  <si>
    <t>+91-7548820515</t>
  </si>
  <si>
    <t>BSH0340</t>
  </si>
  <si>
    <t>+91-9962147963</t>
  </si>
  <si>
    <t>BSH0341</t>
  </si>
  <si>
    <t>Meera Patel</t>
  </si>
  <si>
    <t>+91-8462341948</t>
  </si>
  <si>
    <t>BSH0342</t>
  </si>
  <si>
    <t>Karan Nair</t>
  </si>
  <si>
    <t>+91-9108541005</t>
  </si>
  <si>
    <t>BSH0343</t>
  </si>
  <si>
    <t>+91-8557654568</t>
  </si>
  <si>
    <t>BSH0344</t>
  </si>
  <si>
    <t>+91-8245496944</t>
  </si>
  <si>
    <t>BSH0345</t>
  </si>
  <si>
    <t>+91-8908269522</t>
  </si>
  <si>
    <t>BSH0346</t>
  </si>
  <si>
    <t>Myra Mehta</t>
  </si>
  <si>
    <t>+91-7383892491</t>
  </si>
  <si>
    <t>BSH0347</t>
  </si>
  <si>
    <t>Arjun Pillai</t>
  </si>
  <si>
    <t>+91-8490697278</t>
  </si>
  <si>
    <t>BSH0348</t>
  </si>
  <si>
    <t>Sai Rao</t>
  </si>
  <si>
    <t>+91-7012832752</t>
  </si>
  <si>
    <t>BSH0349</t>
  </si>
  <si>
    <t>+91-8711555735</t>
  </si>
  <si>
    <t>BSH0350</t>
  </si>
  <si>
    <t>Sai Gupta</t>
  </si>
  <si>
    <t>+91-9044816858</t>
  </si>
  <si>
    <t>BSH0351</t>
  </si>
  <si>
    <t>+91-8020319457</t>
  </si>
  <si>
    <t>BSH0352</t>
  </si>
  <si>
    <t>Divya Malhotra</t>
  </si>
  <si>
    <t>+91-7452811723</t>
  </si>
  <si>
    <t>BSH0353</t>
  </si>
  <si>
    <t>+91-7749613081</t>
  </si>
  <si>
    <t>BSH0354</t>
  </si>
  <si>
    <t>Rohan Verma</t>
  </si>
  <si>
    <t>+91-7741570677</t>
  </si>
  <si>
    <t>BSH0355</t>
  </si>
  <si>
    <t>Suresh Kumar</t>
  </si>
  <si>
    <t>+91-7574392501</t>
  </si>
  <si>
    <t>BSH0356</t>
  </si>
  <si>
    <t>Arjun Patel</t>
  </si>
  <si>
    <t>+91-9159219182</t>
  </si>
  <si>
    <t>BSH0357</t>
  </si>
  <si>
    <t>Aadhya Chauhan</t>
  </si>
  <si>
    <t>+91-8464251245</t>
  </si>
  <si>
    <t>BSH0358</t>
  </si>
  <si>
    <t>Arjun Kapoor</t>
  </si>
  <si>
    <t>+91-9241591178</t>
  </si>
  <si>
    <t>BSH0359</t>
  </si>
  <si>
    <t>Aditya Iyer</t>
  </si>
  <si>
    <t>+91-9981297860</t>
  </si>
  <si>
    <t>BSH0360</t>
  </si>
  <si>
    <t>Diya Mehta</t>
  </si>
  <si>
    <t>+91-7403941827</t>
  </si>
  <si>
    <t>BSH0361</t>
  </si>
  <si>
    <t>Ira Chopra</t>
  </si>
  <si>
    <t>+91-9346336458</t>
  </si>
  <si>
    <t>BSH0362</t>
  </si>
  <si>
    <t>Shreya Joshi</t>
  </si>
  <si>
    <t>+91-8027032650</t>
  </si>
  <si>
    <t>BSH0363</t>
  </si>
  <si>
    <t>+91-9780351653</t>
  </si>
  <si>
    <t>BSH0364</t>
  </si>
  <si>
    <t>Divya Rao</t>
  </si>
  <si>
    <t>+91-9677094437</t>
  </si>
  <si>
    <t>BSH0365</t>
  </si>
  <si>
    <t>Suresh Chauhan</t>
  </si>
  <si>
    <t>+91-9337154093</t>
  </si>
  <si>
    <t>BSH0366</t>
  </si>
  <si>
    <t>Amit Joshi</t>
  </si>
  <si>
    <t>+91-8182642682</t>
  </si>
  <si>
    <t>BSH0367</t>
  </si>
  <si>
    <t>Neha Verma</t>
  </si>
  <si>
    <t>+91-7650270564</t>
  </si>
  <si>
    <t>BSH0368</t>
  </si>
  <si>
    <t>Divya Patel</t>
  </si>
  <si>
    <t>+91-8965687003</t>
  </si>
  <si>
    <t>BSH0369</t>
  </si>
  <si>
    <t>Ayaan Yadav</t>
  </si>
  <si>
    <t>+91-7114370493</t>
  </si>
  <si>
    <t>BSH0370</t>
  </si>
  <si>
    <t>Reyansh Rao</t>
  </si>
  <si>
    <t>+91-9601489139</t>
  </si>
  <si>
    <t>BSH0371</t>
  </si>
  <si>
    <t>+91-8609881679</t>
  </si>
  <si>
    <t>BSH0372</t>
  </si>
  <si>
    <t>Divya Mehta</t>
  </si>
  <si>
    <t>+91-7175017264</t>
  </si>
  <si>
    <t>BSH0373</t>
  </si>
  <si>
    <t>Vivaan Malhotra</t>
  </si>
  <si>
    <t>+91-7446488920</t>
  </si>
  <si>
    <t>BSH0374</t>
  </si>
  <si>
    <t>+91-8764743504</t>
  </si>
  <si>
    <t>BSH0375</t>
  </si>
  <si>
    <t>Swati Reddy</t>
  </si>
  <si>
    <t>+91-7893065628</t>
  </si>
  <si>
    <t>BSH0376</t>
  </si>
  <si>
    <t>+91-9092938370</t>
  </si>
  <si>
    <t>BSH0377</t>
  </si>
  <si>
    <t>Sanjay Iyer</t>
  </si>
  <si>
    <t>+91-7530693230</t>
  </si>
  <si>
    <t>BSH0378</t>
  </si>
  <si>
    <t>+91-8593372005</t>
  </si>
  <si>
    <t>BSH0379</t>
  </si>
  <si>
    <t>Kiara Gupta</t>
  </si>
  <si>
    <t>+91-8321823164</t>
  </si>
  <si>
    <t>BSH0380</t>
  </si>
  <si>
    <t>+91-9064298917</t>
  </si>
  <si>
    <t>BSH0381</t>
  </si>
  <si>
    <t>+91-8872498768</t>
  </si>
  <si>
    <t>BSH0382</t>
  </si>
  <si>
    <t>Pooja Kapoor</t>
  </si>
  <si>
    <t>+91-8624346002</t>
  </si>
  <si>
    <t>BSH0383</t>
  </si>
  <si>
    <t>+91-9621460817</t>
  </si>
  <si>
    <t>BSH0384</t>
  </si>
  <si>
    <t>+91-7687117795</t>
  </si>
  <si>
    <t>BSH0385</t>
  </si>
  <si>
    <t>+91-7293529472</t>
  </si>
  <si>
    <t>BSH0386</t>
  </si>
  <si>
    <t>Swati Kumar</t>
  </si>
  <si>
    <t>+91-7988514993</t>
  </si>
  <si>
    <t>BSH0387</t>
  </si>
  <si>
    <t>+91-8172898144</t>
  </si>
  <si>
    <t>BSH0388</t>
  </si>
  <si>
    <t>Rohan Singh</t>
  </si>
  <si>
    <t>+91-9925529954</t>
  </si>
  <si>
    <t>BSH0389</t>
  </si>
  <si>
    <t>+91-7483216306</t>
  </si>
  <si>
    <t>BSH0390</t>
  </si>
  <si>
    <t>+91-8356997728</t>
  </si>
  <si>
    <t>BSH0391</t>
  </si>
  <si>
    <t>Shreya Sharma</t>
  </si>
  <si>
    <t>+91-8900152769</t>
  </si>
  <si>
    <t>BSH0392</t>
  </si>
  <si>
    <t>+91-8878664308</t>
  </si>
  <si>
    <t>BSH0393</t>
  </si>
  <si>
    <t>+91-7266568839</t>
  </si>
  <si>
    <t>BSH0394</t>
  </si>
  <si>
    <t>+91-9519484941</t>
  </si>
  <si>
    <t>BSH0395</t>
  </si>
  <si>
    <t>Vihaan Pillai</t>
  </si>
  <si>
    <t>+91-9834380903</t>
  </si>
  <si>
    <t>BSH0396</t>
  </si>
  <si>
    <t>+91-8522288739</t>
  </si>
  <si>
    <t>BSH0397</t>
  </si>
  <si>
    <t>Diya Singh</t>
  </si>
  <si>
    <t>+91-7536739245</t>
  </si>
  <si>
    <t>BSH0398</t>
  </si>
  <si>
    <t>2025-08-19</t>
  </si>
  <si>
    <t>+91-8364271558</t>
  </si>
  <si>
    <t>BSH0399</t>
  </si>
  <si>
    <t>+91-8327531986</t>
  </si>
  <si>
    <t>BSH0400</t>
  </si>
  <si>
    <t>+91-9903522497</t>
  </si>
  <si>
    <t>BSH0401</t>
  </si>
  <si>
    <t>Vivaan Joshi</t>
  </si>
  <si>
    <t>+91-7670370070</t>
  </si>
  <si>
    <t>BSH0402</t>
  </si>
  <si>
    <t>+91-8981834958</t>
  </si>
  <si>
    <t>BSH0403</t>
  </si>
  <si>
    <t>Ayaan Rao</t>
  </si>
  <si>
    <t>+91-9192324465</t>
  </si>
  <si>
    <t>BSH0404</t>
  </si>
  <si>
    <t>+91-8146987267</t>
  </si>
  <si>
    <t>BSH0405</t>
  </si>
  <si>
    <t>+91-8327313524</t>
  </si>
  <si>
    <t>BSH0406</t>
  </si>
  <si>
    <t>Navya Pillai</t>
  </si>
  <si>
    <t>+91-8741195647</t>
  </si>
  <si>
    <t>BSH0407</t>
  </si>
  <si>
    <t>Rohan Kumar</t>
  </si>
  <si>
    <t>+91-7489424469</t>
  </si>
  <si>
    <t>BSH0408</t>
  </si>
  <si>
    <t>Suresh Malhotra</t>
  </si>
  <si>
    <t>+91-7460341031</t>
  </si>
  <si>
    <t>BSH0409</t>
  </si>
  <si>
    <t>Vihaan Kapoor</t>
  </si>
  <si>
    <t>+91-8648541305</t>
  </si>
  <si>
    <t>BSH0410</t>
  </si>
  <si>
    <t>+91-8678268576</t>
  </si>
  <si>
    <t>BSH0411</t>
  </si>
  <si>
    <t>Neha Patel</t>
  </si>
  <si>
    <t>+91-9777094938</t>
  </si>
  <si>
    <t>BSH0412</t>
  </si>
  <si>
    <t>+91-7550840005</t>
  </si>
  <si>
    <t>BSH0413</t>
  </si>
  <si>
    <t>+91-8336721509</t>
  </si>
  <si>
    <t>BSH0414</t>
  </si>
  <si>
    <t>Arjun Kumar</t>
  </si>
  <si>
    <t>+91-7277919234</t>
  </si>
  <si>
    <t>BSH0415</t>
  </si>
  <si>
    <t>Divya Kapoor</t>
  </si>
  <si>
    <t>+91-7956618318</t>
  </si>
  <si>
    <t>BSH0416</t>
  </si>
  <si>
    <t>Meera Verma</t>
  </si>
  <si>
    <t>+91-9586819817</t>
  </si>
  <si>
    <t>BSH0417</t>
  </si>
  <si>
    <t>Deepak Singh</t>
  </si>
  <si>
    <t>+91-8434567401</t>
  </si>
  <si>
    <t>BSH0418</t>
  </si>
  <si>
    <t>+91-9200338966</t>
  </si>
  <si>
    <t>BSH0419</t>
  </si>
  <si>
    <t>Divya Chauhan</t>
  </si>
  <si>
    <t>+91-7644050784</t>
  </si>
  <si>
    <t>BSH0420</t>
  </si>
  <si>
    <t>Priya Kumar</t>
  </si>
  <si>
    <t>+91-8651112933</t>
  </si>
  <si>
    <t>BSH0421</t>
  </si>
  <si>
    <t>+91-7815876955</t>
  </si>
  <si>
    <t>BSH0422</t>
  </si>
  <si>
    <t>+91-9324050159</t>
  </si>
  <si>
    <t>BSH0423</t>
  </si>
  <si>
    <t>Vivaan Nair</t>
  </si>
  <si>
    <t>+91-8797017978</t>
  </si>
  <si>
    <t>BSH0424</t>
  </si>
  <si>
    <t>Karan Agarwal</t>
  </si>
  <si>
    <t>+91-7334558400</t>
  </si>
  <si>
    <t>BSH0425</t>
  </si>
  <si>
    <t>Ishaan Singh</t>
  </si>
  <si>
    <t>+91-9335630682</t>
  </si>
  <si>
    <t>BSH0426</t>
  </si>
  <si>
    <t>Aadhya Bansal</t>
  </si>
  <si>
    <t>+91-7391024596</t>
  </si>
  <si>
    <t>BSH0427</t>
  </si>
  <si>
    <t>+91-8091026612</t>
  </si>
  <si>
    <t>BSH0428</t>
  </si>
  <si>
    <t>+91-8873152642</t>
  </si>
  <si>
    <t>BSH0429</t>
  </si>
  <si>
    <t>+91-8308841506</t>
  </si>
  <si>
    <t>BSH0430</t>
  </si>
  <si>
    <t>+91-8532811784</t>
  </si>
  <si>
    <t>BSH0431</t>
  </si>
  <si>
    <t>Riya Gupta</t>
  </si>
  <si>
    <t>+91-8017970536</t>
  </si>
  <si>
    <t>BSH0432</t>
  </si>
  <si>
    <t>+91-8207232180</t>
  </si>
  <si>
    <t>BSH0433</t>
  </si>
  <si>
    <t>+91-7930521069</t>
  </si>
  <si>
    <t>BSH0434</t>
  </si>
  <si>
    <t>+91-7012031231</t>
  </si>
  <si>
    <t>BSH0435</t>
  </si>
  <si>
    <t>Vivaan Chopra</t>
  </si>
  <si>
    <t>+91-7719952040</t>
  </si>
  <si>
    <t>BSH0436</t>
  </si>
  <si>
    <t>+91-7446190353</t>
  </si>
  <si>
    <t>BSH0437</t>
  </si>
  <si>
    <t>+91-9580484904</t>
  </si>
  <si>
    <t>BSH0438</t>
  </si>
  <si>
    <t>+91-9004991877</t>
  </si>
  <si>
    <t>BSH0439</t>
  </si>
  <si>
    <t>Ira Chauhan</t>
  </si>
  <si>
    <t>+91-7782033917</t>
  </si>
  <si>
    <t>BSH0440</t>
  </si>
  <si>
    <t>+91-9297848349</t>
  </si>
  <si>
    <t>BSH0441</t>
  </si>
  <si>
    <t>Vikram Iyer</t>
  </si>
  <si>
    <t>+91-7299796671</t>
  </si>
  <si>
    <t>BSH0442</t>
  </si>
  <si>
    <t>Deepak Nair</t>
  </si>
  <si>
    <t>+91-9440776910</t>
  </si>
  <si>
    <t>BSH0443</t>
  </si>
  <si>
    <t>Priya Agarwal</t>
  </si>
  <si>
    <t>+91-7087091813</t>
  </si>
  <si>
    <t>BSH0444</t>
  </si>
  <si>
    <t>+91-8660737474</t>
  </si>
  <si>
    <t>BSH0445</t>
  </si>
  <si>
    <t>Meera Yadav</t>
  </si>
  <si>
    <t>+91-9758138540</t>
  </si>
  <si>
    <t>BSH0446</t>
  </si>
  <si>
    <t>Rohan Iyer</t>
  </si>
  <si>
    <t>+91-9202722535</t>
  </si>
  <si>
    <t>BSH0447</t>
  </si>
  <si>
    <t>+91-9111566886</t>
  </si>
  <si>
    <t>BSH0448</t>
  </si>
  <si>
    <t>Riya Bansal</t>
  </si>
  <si>
    <t>+91-8592922992</t>
  </si>
  <si>
    <t>BSH0449</t>
  </si>
  <si>
    <t>Divya Singh</t>
  </si>
  <si>
    <t>+91-9124055450</t>
  </si>
  <si>
    <t>BSH0450</t>
  </si>
  <si>
    <t>Vihaan Yadav</t>
  </si>
  <si>
    <t>+91-9852116617</t>
  </si>
  <si>
    <t>BSH0451</t>
  </si>
  <si>
    <t>Sanjay Kapoor</t>
  </si>
  <si>
    <t>+91-7731358699</t>
  </si>
  <si>
    <t>BSH0452</t>
  </si>
  <si>
    <t>Amit Mehta</t>
  </si>
  <si>
    <t>+91-7120151078</t>
  </si>
  <si>
    <t>BSH0453</t>
  </si>
  <si>
    <t>+91-9722472388</t>
  </si>
  <si>
    <t>BSH0454</t>
  </si>
  <si>
    <t>Ayaan Gupta</t>
  </si>
  <si>
    <t>+91-9244558358</t>
  </si>
  <si>
    <t>BSH0455</t>
  </si>
  <si>
    <t>Amit Kumar</t>
  </si>
  <si>
    <t>+91-9105761522</t>
  </si>
  <si>
    <t>BSH0456</t>
  </si>
  <si>
    <t>Ravi Verma</t>
  </si>
  <si>
    <t>+91-9590848706</t>
  </si>
  <si>
    <t>BSH0457</t>
  </si>
  <si>
    <t>Karan Pillai</t>
  </si>
  <si>
    <t>+91-8294193451</t>
  </si>
  <si>
    <t>BSH0458</t>
  </si>
  <si>
    <t>Rahul Joshi</t>
  </si>
  <si>
    <t>+91-8573694705</t>
  </si>
  <si>
    <t>BSH0459</t>
  </si>
  <si>
    <t>+91-9499689895</t>
  </si>
  <si>
    <t>BSH0460</t>
  </si>
  <si>
    <t>+91-9011568240</t>
  </si>
  <si>
    <t>BSH0461</t>
  </si>
  <si>
    <t>Vivaan Sharma</t>
  </si>
  <si>
    <t>+91-7495176029</t>
  </si>
  <si>
    <t>BSH0462</t>
  </si>
  <si>
    <t>Manoj Yadav</t>
  </si>
  <si>
    <t>+91-7789650993</t>
  </si>
  <si>
    <t>BSH0463</t>
  </si>
  <si>
    <t>Meera Nair</t>
  </si>
  <si>
    <t>+91-9220475128</t>
  </si>
  <si>
    <t>BSH0464</t>
  </si>
  <si>
    <t>2025-01-20</t>
  </si>
  <si>
    <t>Sai Patel</t>
  </si>
  <si>
    <t>+91-9625377680</t>
  </si>
  <si>
    <t>BSH0465</t>
  </si>
  <si>
    <t>Priya Nair</t>
  </si>
  <si>
    <t>+91-8949988422</t>
  </si>
  <si>
    <t>BSH0466</t>
  </si>
  <si>
    <t>Aadhya Nair</t>
  </si>
  <si>
    <t>+91-9260490767</t>
  </si>
  <si>
    <t>BSH0467</t>
  </si>
  <si>
    <t>+91-9936035048</t>
  </si>
  <si>
    <t>BSH0468</t>
  </si>
  <si>
    <t>Myra Reddy</t>
  </si>
  <si>
    <t>+91-8279628463</t>
  </si>
  <si>
    <t>BSH0469</t>
  </si>
  <si>
    <t>+91-9881345083</t>
  </si>
  <si>
    <t>BSH0470</t>
  </si>
  <si>
    <t>+91-8737037789</t>
  </si>
  <si>
    <t>BSH0471</t>
  </si>
  <si>
    <t>+91-7039667087</t>
  </si>
  <si>
    <t>BSH0472</t>
  </si>
  <si>
    <t>Suresh Sharma</t>
  </si>
  <si>
    <t>+91-8944923047</t>
  </si>
  <si>
    <t>BSH0473</t>
  </si>
  <si>
    <t>+91-7068992400</t>
  </si>
  <si>
    <t>BSH0474</t>
  </si>
  <si>
    <t>+91-9575596984</t>
  </si>
  <si>
    <t>BSH0475</t>
  </si>
  <si>
    <t>+91-8409278660</t>
  </si>
  <si>
    <t>BSH0476</t>
  </si>
  <si>
    <t>+91-7685174618</t>
  </si>
  <si>
    <t>BSH0477</t>
  </si>
  <si>
    <t>+91-7220469316</t>
  </si>
  <si>
    <t>BSH0478</t>
  </si>
  <si>
    <t>Meera Malhotra</t>
  </si>
  <si>
    <t>+91-7779254483</t>
  </si>
  <si>
    <t>BSH0479</t>
  </si>
  <si>
    <t>Vikram Joshi</t>
  </si>
  <si>
    <t>+91-7039413516</t>
  </si>
  <si>
    <t>BSH0480</t>
  </si>
  <si>
    <t>+91-8341491357</t>
  </si>
  <si>
    <t>BSH0481</t>
  </si>
  <si>
    <t>Priya Pillai</t>
  </si>
  <si>
    <t>+91-7081525177</t>
  </si>
  <si>
    <t>BSH0482</t>
  </si>
  <si>
    <t>+91-8535259661</t>
  </si>
  <si>
    <t>BSH0483</t>
  </si>
  <si>
    <t>Navya Kapoor</t>
  </si>
  <si>
    <t>+91-9892682386</t>
  </si>
  <si>
    <t>BSH0484</t>
  </si>
  <si>
    <t>+91-9507342026</t>
  </si>
  <si>
    <t>BSH0485</t>
  </si>
  <si>
    <t>+91-9904260553</t>
  </si>
  <si>
    <t>BSH0486</t>
  </si>
  <si>
    <t>Ayaan Singh</t>
  </si>
  <si>
    <t>+91-9747010124</t>
  </si>
  <si>
    <t>BSH0487</t>
  </si>
  <si>
    <t>+91-9795870235</t>
  </si>
  <si>
    <t>BSH0488</t>
  </si>
  <si>
    <t>Reyansh Singh</t>
  </si>
  <si>
    <t>+91-9533467413</t>
  </si>
  <si>
    <t>BSH0489</t>
  </si>
  <si>
    <t>+91-8981981144</t>
  </si>
  <si>
    <t>BSH0490</t>
  </si>
  <si>
    <t>Sanjay Joshi</t>
  </si>
  <si>
    <t>+91-7321646939</t>
  </si>
  <si>
    <t>BSH0491</t>
  </si>
  <si>
    <t>Sai Chopra</t>
  </si>
  <si>
    <t>+91-7273426475</t>
  </si>
  <si>
    <t>BSH0492</t>
  </si>
  <si>
    <t>Saanvi Kapoor</t>
  </si>
  <si>
    <t>+91-8742357465</t>
  </si>
  <si>
    <t>BSH0493</t>
  </si>
  <si>
    <t>Rahul Agarwal</t>
  </si>
  <si>
    <t>+91-7995159787</t>
  </si>
  <si>
    <t>BSH0494</t>
  </si>
  <si>
    <t>Vikram Bansal</t>
  </si>
  <si>
    <t>+91-9296794022</t>
  </si>
  <si>
    <t>BSH0495</t>
  </si>
  <si>
    <t>+91-9162930448</t>
  </si>
  <si>
    <t>BSH0496</t>
  </si>
  <si>
    <t>+91-9098075572</t>
  </si>
  <si>
    <t>BSH0497</t>
  </si>
  <si>
    <t>+91-9087139004</t>
  </si>
  <si>
    <t>BSH0498</t>
  </si>
  <si>
    <t>Vikram Gupta</t>
  </si>
  <si>
    <t>+91-8010978006</t>
  </si>
  <si>
    <t>BSH0499</t>
  </si>
  <si>
    <t>Navya Joshi</t>
  </si>
  <si>
    <t>+91-7819360530</t>
  </si>
  <si>
    <t>BSH0500</t>
  </si>
  <si>
    <t>Saanvi Iyer</t>
  </si>
  <si>
    <t>+91-9564020313</t>
  </si>
  <si>
    <t>BSH0501</t>
  </si>
  <si>
    <t>Karan Reddy</t>
  </si>
  <si>
    <t>+91-9258022111</t>
  </si>
  <si>
    <t>BSH0502</t>
  </si>
  <si>
    <t>+91-7258273844</t>
  </si>
  <si>
    <t>BSH0503</t>
  </si>
  <si>
    <t>Ira Mehta</t>
  </si>
  <si>
    <t>+91-9487227587</t>
  </si>
  <si>
    <t>BSH0504</t>
  </si>
  <si>
    <t>+91-8257840232</t>
  </si>
  <si>
    <t>BSH0505</t>
  </si>
  <si>
    <t>+91-9307938891</t>
  </si>
  <si>
    <t>BSH0506</t>
  </si>
  <si>
    <t>Kiara Joshi</t>
  </si>
  <si>
    <t>+91-8631437293</t>
  </si>
  <si>
    <t>BSH0507</t>
  </si>
  <si>
    <t>Ravi Kumar</t>
  </si>
  <si>
    <t>+91-9085568094</t>
  </si>
  <si>
    <t>BSH0508</t>
  </si>
  <si>
    <t>Ravi Mehta</t>
  </si>
  <si>
    <t>+91-9999635316</t>
  </si>
  <si>
    <t>BSH0509</t>
  </si>
  <si>
    <t>Deepak Kapoor</t>
  </si>
  <si>
    <t>+91-9923547142</t>
  </si>
  <si>
    <t>BSH0510</t>
  </si>
  <si>
    <t>Diya Sharma</t>
  </si>
  <si>
    <t>+91-9390594822</t>
  </si>
  <si>
    <t>BSH0511</t>
  </si>
  <si>
    <t>+91-8399842778</t>
  </si>
  <si>
    <t>BSH0512</t>
  </si>
  <si>
    <t>+91-8634553198</t>
  </si>
  <si>
    <t>BSH0513</t>
  </si>
  <si>
    <t>+91-8755099224</t>
  </si>
  <si>
    <t>BSH0514</t>
  </si>
  <si>
    <t>+91-7280245933</t>
  </si>
  <si>
    <t>BSH0515</t>
  </si>
  <si>
    <t>Sanjay Reddy</t>
  </si>
  <si>
    <t>+91-8909253826</t>
  </si>
  <si>
    <t>BSH0516</t>
  </si>
  <si>
    <t>Kavya Bansal</t>
  </si>
  <si>
    <t>+91-7384670351</t>
  </si>
  <si>
    <t>BSH0517</t>
  </si>
  <si>
    <t>+91-7973491967</t>
  </si>
  <si>
    <t>BSH0518</t>
  </si>
  <si>
    <t>+91-8392834669</t>
  </si>
  <si>
    <t>BSH0519</t>
  </si>
  <si>
    <t>+91-8345184133</t>
  </si>
  <si>
    <t>BSH0520</t>
  </si>
  <si>
    <t>+91-7429873795</t>
  </si>
  <si>
    <t>BSH0521</t>
  </si>
  <si>
    <t>Myra Kumar</t>
  </si>
  <si>
    <t>+91-8615374388</t>
  </si>
  <si>
    <t>BSH0522</t>
  </si>
  <si>
    <t>+91-8867322839</t>
  </si>
  <si>
    <t>BSH0523</t>
  </si>
  <si>
    <t>Vihaan Malhotra</t>
  </si>
  <si>
    <t>+91-7594014539</t>
  </si>
  <si>
    <t>BSH0524</t>
  </si>
  <si>
    <t>Swati Kapoor</t>
  </si>
  <si>
    <t>+91-9541371634</t>
  </si>
  <si>
    <t>BSH0525</t>
  </si>
  <si>
    <t>+91-9554377626</t>
  </si>
  <si>
    <t>BSH0526</t>
  </si>
  <si>
    <t>Krishna Joshi</t>
  </si>
  <si>
    <t>+91-8395492349</t>
  </si>
  <si>
    <t>BSH0527</t>
  </si>
  <si>
    <t>Riya Sharma</t>
  </si>
  <si>
    <t>+91-8059524949</t>
  </si>
  <si>
    <t>BSH0528</t>
  </si>
  <si>
    <t>Ira Joshi</t>
  </si>
  <si>
    <t>+91-9981217647</t>
  </si>
  <si>
    <t>BSH0529</t>
  </si>
  <si>
    <t>+91-9678670192</t>
  </si>
  <si>
    <t>BSH0530</t>
  </si>
  <si>
    <t>Reyansh Yadav</t>
  </si>
  <si>
    <t>+91-7025765173</t>
  </si>
  <si>
    <t>BSH0531</t>
  </si>
  <si>
    <t>Riya Pillai</t>
  </si>
  <si>
    <t>+91-9665233826</t>
  </si>
  <si>
    <t>BSH0532</t>
  </si>
  <si>
    <t>Aditya Kapoor</t>
  </si>
  <si>
    <t>+91-7407052210</t>
  </si>
  <si>
    <t>BSH0533</t>
  </si>
  <si>
    <t>Ishaan Iyer</t>
  </si>
  <si>
    <t>+91-7858567493</t>
  </si>
  <si>
    <t>BSH0534</t>
  </si>
  <si>
    <t>Myra Agarwal</t>
  </si>
  <si>
    <t>+91-8299030285</t>
  </si>
  <si>
    <t>BSH0535</t>
  </si>
  <si>
    <t>+91-9289270389</t>
  </si>
  <si>
    <t>BSH0536</t>
  </si>
  <si>
    <t>Karan Gupta</t>
  </si>
  <si>
    <t>+91-7851621983</t>
  </si>
  <si>
    <t>BSH0537</t>
  </si>
  <si>
    <t>+91-8876415834</t>
  </si>
  <si>
    <t>BSH0538</t>
  </si>
  <si>
    <t>Ira Verma</t>
  </si>
  <si>
    <t>+91-9780650014</t>
  </si>
  <si>
    <t>BSH0539</t>
  </si>
  <si>
    <t>Ravi Nair</t>
  </si>
  <si>
    <t>+91-7892889964</t>
  </si>
  <si>
    <t>BSH0540</t>
  </si>
  <si>
    <t>+91-8673248698</t>
  </si>
  <si>
    <t>BSH0541</t>
  </si>
  <si>
    <t>+91-8220221289</t>
  </si>
  <si>
    <t>BSH0542</t>
  </si>
  <si>
    <t>+91-9601963550</t>
  </si>
  <si>
    <t>BSH0543</t>
  </si>
  <si>
    <t>+91-8806852475</t>
  </si>
  <si>
    <t>BSH0544</t>
  </si>
  <si>
    <t>+91-8859243473</t>
  </si>
  <si>
    <t>BSH0545</t>
  </si>
  <si>
    <t>+91-7181529064</t>
  </si>
  <si>
    <t>BSH0546</t>
  </si>
  <si>
    <t>+91-9323277272</t>
  </si>
  <si>
    <t>BSH0547</t>
  </si>
  <si>
    <t>Deepak Kumar</t>
  </si>
  <si>
    <t>+91-9899819216</t>
  </si>
  <si>
    <t>BSH0548</t>
  </si>
  <si>
    <t>Kavya Gupta</t>
  </si>
  <si>
    <t>+91-7436942661</t>
  </si>
  <si>
    <t>BSH0549</t>
  </si>
  <si>
    <t>Kiara Chauhan</t>
  </si>
  <si>
    <t>+91-9883929553</t>
  </si>
  <si>
    <t>BSH0550</t>
  </si>
  <si>
    <t>+91-8192267170</t>
  </si>
  <si>
    <t>BSH0551</t>
  </si>
  <si>
    <t>Anjali Kumar</t>
  </si>
  <si>
    <t>+91-7029354256</t>
  </si>
  <si>
    <t>BSH0552</t>
  </si>
  <si>
    <t>+91-7855595838</t>
  </si>
  <si>
    <t>BSH0553</t>
  </si>
  <si>
    <t>Anika Patel</t>
  </si>
  <si>
    <t>+91-8670155295</t>
  </si>
  <si>
    <t>BSH0554</t>
  </si>
  <si>
    <t>+91-7185111991</t>
  </si>
  <si>
    <t>BSH0555</t>
  </si>
  <si>
    <t>+91-8520047481</t>
  </si>
  <si>
    <t>BSH0556</t>
  </si>
  <si>
    <t>Deepak Mehta</t>
  </si>
  <si>
    <t>+91-9417090106</t>
  </si>
  <si>
    <t>BSH0557</t>
  </si>
  <si>
    <t>Diya Iyer</t>
  </si>
  <si>
    <t>+91-7465833047</t>
  </si>
  <si>
    <t>BSH0558</t>
  </si>
  <si>
    <t>+91-7830580116</t>
  </si>
  <si>
    <t>BSH0559</t>
  </si>
  <si>
    <t>+91-7967643367</t>
  </si>
  <si>
    <t>BSH0560</t>
  </si>
  <si>
    <t>+91-7321328819</t>
  </si>
  <si>
    <t>BSH0561</t>
  </si>
  <si>
    <t>+91-9029283257</t>
  </si>
  <si>
    <t>BSH0562</t>
  </si>
  <si>
    <t>Navya Reddy</t>
  </si>
  <si>
    <t>+91-7009599418</t>
  </si>
  <si>
    <t>BSH0563</t>
  </si>
  <si>
    <t>Ananya Sharma</t>
  </si>
  <si>
    <t>+91-7197466557</t>
  </si>
  <si>
    <t>BSH0564</t>
  </si>
  <si>
    <t>Vikram Rao</t>
  </si>
  <si>
    <t>+91-7323767566</t>
  </si>
  <si>
    <t>BSH0565</t>
  </si>
  <si>
    <t>Kiara Kapoor</t>
  </si>
  <si>
    <t>+91-7604180161</t>
  </si>
  <si>
    <t>BSH0566</t>
  </si>
  <si>
    <t>+91-8548771932</t>
  </si>
  <si>
    <t>BSH0567</t>
  </si>
  <si>
    <t>+91-8220439194</t>
  </si>
  <si>
    <t>BSH0568</t>
  </si>
  <si>
    <t>Vikram Mehta</t>
  </si>
  <si>
    <t>+91-9733553398</t>
  </si>
  <si>
    <t>BSH0569</t>
  </si>
  <si>
    <t>Arjun Yadav</t>
  </si>
  <si>
    <t>+91-7119978329</t>
  </si>
  <si>
    <t>BSH0570</t>
  </si>
  <si>
    <t>Kavya Nair</t>
  </si>
  <si>
    <t>+91-7661410527</t>
  </si>
  <si>
    <t>BSH0571</t>
  </si>
  <si>
    <t>Kiara Bansal</t>
  </si>
  <si>
    <t>+91-9738265199</t>
  </si>
  <si>
    <t>BSH0572</t>
  </si>
  <si>
    <t>+91-7875279737</t>
  </si>
  <si>
    <t>BSH0573</t>
  </si>
  <si>
    <t>+91-9594325837</t>
  </si>
  <si>
    <t>BSH0574</t>
  </si>
  <si>
    <t>+91-9274484440</t>
  </si>
  <si>
    <t>BSH0575</t>
  </si>
  <si>
    <t>Vihaan Mehta</t>
  </si>
  <si>
    <t>+91-8425097198</t>
  </si>
  <si>
    <t>BSH0576</t>
  </si>
  <si>
    <t>+91-7134554409</t>
  </si>
  <si>
    <t>BSH0577</t>
  </si>
  <si>
    <t>Vihaan Gupta</t>
  </si>
  <si>
    <t>+91-9396590710</t>
  </si>
  <si>
    <t>BSH0578</t>
  </si>
  <si>
    <t>+91-7486894148</t>
  </si>
  <si>
    <t>BSH0579</t>
  </si>
  <si>
    <t>Pooja Iyer</t>
  </si>
  <si>
    <t>+91-9980585680</t>
  </si>
  <si>
    <t>BSH0580</t>
  </si>
  <si>
    <t>Vivaan Singh</t>
  </si>
  <si>
    <t>+91-8619231012</t>
  </si>
  <si>
    <t>BSH0581</t>
  </si>
  <si>
    <t>+91-7862557168</t>
  </si>
  <si>
    <t>BSH0582</t>
  </si>
  <si>
    <t>+91-9152636912</t>
  </si>
  <si>
    <t>BSH0583</t>
  </si>
  <si>
    <t>+91-9032459538</t>
  </si>
  <si>
    <t>BSH0584</t>
  </si>
  <si>
    <t>Divya Chopra</t>
  </si>
  <si>
    <t>+91-7911835857</t>
  </si>
  <si>
    <t>BSH0585</t>
  </si>
  <si>
    <t>+91-9830746430</t>
  </si>
  <si>
    <t>BSH0586</t>
  </si>
  <si>
    <t>+91-8147751851</t>
  </si>
  <si>
    <t>BSH0587</t>
  </si>
  <si>
    <t>Aadhya Rao</t>
  </si>
  <si>
    <t>+91-8930865191</t>
  </si>
  <si>
    <t>BSH0588</t>
  </si>
  <si>
    <t>+91-7709131554</t>
  </si>
  <si>
    <t>BSH0589</t>
  </si>
  <si>
    <t>Anika Nair</t>
  </si>
  <si>
    <t>+91-9375149534</t>
  </si>
  <si>
    <t>BSH0590</t>
  </si>
  <si>
    <t>+91-7978823793</t>
  </si>
  <si>
    <t>BSH0591</t>
  </si>
  <si>
    <t>Kiara Pillai</t>
  </si>
  <si>
    <t>+91-7437670112</t>
  </si>
  <si>
    <t>BSH0592</t>
  </si>
  <si>
    <t>+91-7675558351</t>
  </si>
  <si>
    <t>BSH0593</t>
  </si>
  <si>
    <t>+91-9360428727</t>
  </si>
  <si>
    <t>BSH0594</t>
  </si>
  <si>
    <t>Sneha Rao</t>
  </si>
  <si>
    <t>+91-7729573503</t>
  </si>
  <si>
    <t>BSH0595</t>
  </si>
  <si>
    <t>+91-9510323171</t>
  </si>
  <si>
    <t>BSH0596</t>
  </si>
  <si>
    <t>Krishna Verma</t>
  </si>
  <si>
    <t>+91-9720831499</t>
  </si>
  <si>
    <t>BSH0597</t>
  </si>
  <si>
    <t>+91-7931523928</t>
  </si>
  <si>
    <t>BSH0598</t>
  </si>
  <si>
    <t>Pooja Sharma</t>
  </si>
  <si>
    <t>+91-7461637456</t>
  </si>
  <si>
    <t>BSH0599</t>
  </si>
  <si>
    <t>Ishaan Nair</t>
  </si>
  <si>
    <t>+91-9554424866</t>
  </si>
  <si>
    <t>BSH0600</t>
  </si>
  <si>
    <t>Karan Kumar</t>
  </si>
  <si>
    <t>+91-7915862829</t>
  </si>
  <si>
    <t>BSH0601</t>
  </si>
  <si>
    <t>+91-7282695540</t>
  </si>
  <si>
    <t>BSH0602</t>
  </si>
  <si>
    <t>Pooja Yadav</t>
  </si>
  <si>
    <t>+91-9445568466</t>
  </si>
  <si>
    <t>BSH0603</t>
  </si>
  <si>
    <t>+91-9832656309</t>
  </si>
  <si>
    <t>BSH0604</t>
  </si>
  <si>
    <t>+91-7032020131</t>
  </si>
  <si>
    <t>BSH0605</t>
  </si>
  <si>
    <t>+91-7640590447</t>
  </si>
  <si>
    <t>BSH0606</t>
  </si>
  <si>
    <t>+91-9399159638</t>
  </si>
  <si>
    <t>BSH0607</t>
  </si>
  <si>
    <t>+91-8892059927</t>
  </si>
  <si>
    <t>BSH0608</t>
  </si>
  <si>
    <t>Ananya Chauhan</t>
  </si>
  <si>
    <t>+91-8962975329</t>
  </si>
  <si>
    <t>BSH0609</t>
  </si>
  <si>
    <t>Saanvi Joshi</t>
  </si>
  <si>
    <t>+91-7831127895</t>
  </si>
  <si>
    <t>BSH0610</t>
  </si>
  <si>
    <t>+91-7524959550</t>
  </si>
  <si>
    <t>BSH0611</t>
  </si>
  <si>
    <t>Sanjay Yadav</t>
  </si>
  <si>
    <t>+91-8602273549</t>
  </si>
  <si>
    <t>BSH0612</t>
  </si>
  <si>
    <t>Saanvi Reddy</t>
  </si>
  <si>
    <t>+91-7283091730</t>
  </si>
  <si>
    <t>BSH0613</t>
  </si>
  <si>
    <t>Swati Patel</t>
  </si>
  <si>
    <t>+91-9137891329</t>
  </si>
  <si>
    <t>BSH0614</t>
  </si>
  <si>
    <t>Sai Chauhan</t>
  </si>
  <si>
    <t>+91-9541331563</t>
  </si>
  <si>
    <t>BSH0615</t>
  </si>
  <si>
    <t>+91-8825990967</t>
  </si>
  <si>
    <t>BSH0616</t>
  </si>
  <si>
    <t>Ishaan Patel</t>
  </si>
  <si>
    <t>+91-7247586254</t>
  </si>
  <si>
    <t>BSH0617</t>
  </si>
  <si>
    <t>Ananya Nair</t>
  </si>
  <si>
    <t>+91-9170149211</t>
  </si>
  <si>
    <t>BSH0618</t>
  </si>
  <si>
    <t>+91-9498845583</t>
  </si>
  <si>
    <t>BSH0619</t>
  </si>
  <si>
    <t>+91-8580497127</t>
  </si>
  <si>
    <t>BSH0620</t>
  </si>
  <si>
    <t>Ira Agarwal</t>
  </si>
  <si>
    <t>+91-7421260334</t>
  </si>
  <si>
    <t>BSH0621</t>
  </si>
  <si>
    <t>+91-9636924920</t>
  </si>
  <si>
    <t>BSH0622</t>
  </si>
  <si>
    <t>Neha Malhotra</t>
  </si>
  <si>
    <t>+91-8786876917</t>
  </si>
  <si>
    <t>BSH0623</t>
  </si>
  <si>
    <t>+91-9045754528</t>
  </si>
  <si>
    <t>BSH0624</t>
  </si>
  <si>
    <t>+91-9800916903</t>
  </si>
  <si>
    <t>BSH0625</t>
  </si>
  <si>
    <t>Kavya Joshi</t>
  </si>
  <si>
    <t>+91-7692511141</t>
  </si>
  <si>
    <t>BSH0626</t>
  </si>
  <si>
    <t>+91-8838877350</t>
  </si>
  <si>
    <t>BSH0627</t>
  </si>
  <si>
    <t>Karan Joshi</t>
  </si>
  <si>
    <t>+91-7226152654</t>
  </si>
  <si>
    <t>BSH0628</t>
  </si>
  <si>
    <t>Saanvi Chopra</t>
  </si>
  <si>
    <t>+91-8197219067</t>
  </si>
  <si>
    <t>BSH0629</t>
  </si>
  <si>
    <t>+91-8735376412</t>
  </si>
  <si>
    <t>BSH0630</t>
  </si>
  <si>
    <t>+91-8381224226</t>
  </si>
  <si>
    <t>BSH0631</t>
  </si>
  <si>
    <t>+91-7633655517</t>
  </si>
  <si>
    <t>BSH0632</t>
  </si>
  <si>
    <t>+91-9082853287</t>
  </si>
  <si>
    <t>BSH0633</t>
  </si>
  <si>
    <t>+91-7602390336</t>
  </si>
  <si>
    <t>BSH0634</t>
  </si>
  <si>
    <t>+91-9213974648</t>
  </si>
  <si>
    <t>BSH0635</t>
  </si>
  <si>
    <t>Myra Gupta</t>
  </si>
  <si>
    <t>+91-9831958905</t>
  </si>
  <si>
    <t>BSH0636</t>
  </si>
  <si>
    <t>+91-9746566755</t>
  </si>
  <si>
    <t>BSH0637</t>
  </si>
  <si>
    <t>Anjali Agarwal</t>
  </si>
  <si>
    <t>+91-7900336527</t>
  </si>
  <si>
    <t>BSH0638</t>
  </si>
  <si>
    <t>+91-7185820487</t>
  </si>
  <si>
    <t>BSH0639</t>
  </si>
  <si>
    <t>+91-7269181135</t>
  </si>
  <si>
    <t>BSH0640</t>
  </si>
  <si>
    <t>+91-8265885969</t>
  </si>
  <si>
    <t>BSH0641</t>
  </si>
  <si>
    <t>Krishna Singh</t>
  </si>
  <si>
    <t>+91-8851376223</t>
  </si>
  <si>
    <t>BSH0642</t>
  </si>
  <si>
    <t>Aarav Malhotra</t>
  </si>
  <si>
    <t>+91-9588374069</t>
  </si>
  <si>
    <t>BSH0643</t>
  </si>
  <si>
    <t>+91-8279073123</t>
  </si>
  <si>
    <t>BSH0644</t>
  </si>
  <si>
    <t>+91-7856974682</t>
  </si>
  <si>
    <t>BSH0645</t>
  </si>
  <si>
    <t>+91-7104211755</t>
  </si>
  <si>
    <t>BSH0646</t>
  </si>
  <si>
    <t>Swati Sharma</t>
  </si>
  <si>
    <t>+91-8812257197</t>
  </si>
  <si>
    <t>BSH0647</t>
  </si>
  <si>
    <t>+91-8586856326</t>
  </si>
  <si>
    <t>BSH0648</t>
  </si>
  <si>
    <t>+91-9001177397</t>
  </si>
  <si>
    <t>BSH0649</t>
  </si>
  <si>
    <t>Aadhya Agarwal</t>
  </si>
  <si>
    <t>+91-9527111555</t>
  </si>
  <si>
    <t>BSH0650</t>
  </si>
  <si>
    <t>Sai Bansal</t>
  </si>
  <si>
    <t>+91-7470415503</t>
  </si>
  <si>
    <t>BSH0651</t>
  </si>
  <si>
    <t>Ayaan Bansal</t>
  </si>
  <si>
    <t>+91-7033494917</t>
  </si>
  <si>
    <t>BSH0652</t>
  </si>
  <si>
    <t>+91-7204979432</t>
  </si>
  <si>
    <t>BSH0653</t>
  </si>
  <si>
    <t>+91-8738397429</t>
  </si>
  <si>
    <t>BSH0654</t>
  </si>
  <si>
    <t>Arjun Verma</t>
  </si>
  <si>
    <t>+91-9282917423</t>
  </si>
  <si>
    <t>BSH0655</t>
  </si>
  <si>
    <t>Riya Patel</t>
  </si>
  <si>
    <t>+91-8615176998</t>
  </si>
  <si>
    <t>BSH0656</t>
  </si>
  <si>
    <t>+91-9012213175</t>
  </si>
  <si>
    <t>BSH0657</t>
  </si>
  <si>
    <t>+91-7858328368</t>
  </si>
  <si>
    <t>BSH0658</t>
  </si>
  <si>
    <t>+91-7509344025</t>
  </si>
  <si>
    <t>BSH0659</t>
  </si>
  <si>
    <t>Anjali Sharma</t>
  </si>
  <si>
    <t>+91-9392892697</t>
  </si>
  <si>
    <t>BSH0660</t>
  </si>
  <si>
    <t>Sanjay Nair</t>
  </si>
  <si>
    <t>+91-9331024564</t>
  </si>
  <si>
    <t>BSH0661</t>
  </si>
  <si>
    <t>Sneha Chopra</t>
  </si>
  <si>
    <t>+91-9024775378</t>
  </si>
  <si>
    <t>BSH0662</t>
  </si>
  <si>
    <t>Priya Yadav</t>
  </si>
  <si>
    <t>+91-7592097351</t>
  </si>
  <si>
    <t>BSH0663</t>
  </si>
  <si>
    <t>Ishaan Verma</t>
  </si>
  <si>
    <t>+91-7977188183</t>
  </si>
  <si>
    <t>BSH0664</t>
  </si>
  <si>
    <t>+91-7015644681</t>
  </si>
  <si>
    <t>BSH0665</t>
  </si>
  <si>
    <t>Meera Rao</t>
  </si>
  <si>
    <t>+91-9263154551</t>
  </si>
  <si>
    <t>BSH0666</t>
  </si>
  <si>
    <t>+91-7382168960</t>
  </si>
  <si>
    <t>BSH0667</t>
  </si>
  <si>
    <t>+91-9152465247</t>
  </si>
  <si>
    <t>BSH0668</t>
  </si>
  <si>
    <t>+91-8876089686</t>
  </si>
  <si>
    <t>BSH0669</t>
  </si>
  <si>
    <t>+91-9308257220</t>
  </si>
  <si>
    <t>BSH0670</t>
  </si>
  <si>
    <t>+91-9233730262</t>
  </si>
  <si>
    <t>BSH0671</t>
  </si>
  <si>
    <t>Shreya Iyer</t>
  </si>
  <si>
    <t>+91-7361462563</t>
  </si>
  <si>
    <t>BSH0672</t>
  </si>
  <si>
    <t>Ravi Agarwal</t>
  </si>
  <si>
    <t>+91-7758462405</t>
  </si>
  <si>
    <t>BSH0673</t>
  </si>
  <si>
    <t>+91-7910038428</t>
  </si>
  <si>
    <t>BSH0674</t>
  </si>
  <si>
    <t>Ira Bansal</t>
  </si>
  <si>
    <t>+91-9255369933</t>
  </si>
  <si>
    <t>BSH0675</t>
  </si>
  <si>
    <t>Neha Iyer</t>
  </si>
  <si>
    <t>+91-8519842112</t>
  </si>
  <si>
    <t>BSH0676</t>
  </si>
  <si>
    <t>Pooja Pillai</t>
  </si>
  <si>
    <t>+91-8361567487</t>
  </si>
  <si>
    <t>BSH0677</t>
  </si>
  <si>
    <t>+91-8114933232</t>
  </si>
  <si>
    <t>BSH0678</t>
  </si>
  <si>
    <t>Amit Iyer</t>
  </si>
  <si>
    <t>+91-9947744591</t>
  </si>
  <si>
    <t>BSH0679</t>
  </si>
  <si>
    <t>Shreya Yadav</t>
  </si>
  <si>
    <t>+91-9111720198</t>
  </si>
  <si>
    <t>BSH0680</t>
  </si>
  <si>
    <t>Sai Iyer</t>
  </si>
  <si>
    <t>+91-7501018785</t>
  </si>
  <si>
    <t>BSH0681</t>
  </si>
  <si>
    <t>+91-8802526525</t>
  </si>
  <si>
    <t>BSH0682</t>
  </si>
  <si>
    <t>Manoj Singh</t>
  </si>
  <si>
    <t>+91-9505480574</t>
  </si>
  <si>
    <t>BSH0683</t>
  </si>
  <si>
    <t>+91-9133264682</t>
  </si>
  <si>
    <t>BSH0684</t>
  </si>
  <si>
    <t>+91-9614538248</t>
  </si>
  <si>
    <t>BSH0685</t>
  </si>
  <si>
    <t>Sai Mehta</t>
  </si>
  <si>
    <t>+91-9765224822</t>
  </si>
  <si>
    <t>BSH0686</t>
  </si>
  <si>
    <t>+91-7869597378</t>
  </si>
  <si>
    <t>BSH0687</t>
  </si>
  <si>
    <t>+91-7923964910</t>
  </si>
  <si>
    <t>BSH0688</t>
  </si>
  <si>
    <t>+91-7468055962</t>
  </si>
  <si>
    <t>BSH0689</t>
  </si>
  <si>
    <t>+91-8723552436</t>
  </si>
  <si>
    <t>BSH0690</t>
  </si>
  <si>
    <t>Aadhya Verma</t>
  </si>
  <si>
    <t>+91-8975133619</t>
  </si>
  <si>
    <t>BSH0691</t>
  </si>
  <si>
    <t>+91-8534343629</t>
  </si>
  <si>
    <t>BSH0692</t>
  </si>
  <si>
    <t>+91-9469246677</t>
  </si>
  <si>
    <t>BSH0693</t>
  </si>
  <si>
    <t>+91-7068222019</t>
  </si>
  <si>
    <t>BSH0694</t>
  </si>
  <si>
    <t>Ananya Kumar</t>
  </si>
  <si>
    <t>+91-7032420920</t>
  </si>
  <si>
    <t>BSH0695</t>
  </si>
  <si>
    <t>Anika Kapoor</t>
  </si>
  <si>
    <t>+91-9042226348</t>
  </si>
  <si>
    <t>BSH0696</t>
  </si>
  <si>
    <t>+91-7016383948</t>
  </si>
  <si>
    <t>BSH0697</t>
  </si>
  <si>
    <t>+91-8175535887</t>
  </si>
  <si>
    <t>BSH0698</t>
  </si>
  <si>
    <t>Sai Singh</t>
  </si>
  <si>
    <t>+91-8245927712</t>
  </si>
  <si>
    <t>BSH0699</t>
  </si>
  <si>
    <t>+91-8595565228</t>
  </si>
  <si>
    <t>BSH0700</t>
  </si>
  <si>
    <t>Neha Mehta</t>
  </si>
  <si>
    <t>+91-8636425411</t>
  </si>
  <si>
    <t>BSH0701</t>
  </si>
  <si>
    <t>Sneha Pillai</t>
  </si>
  <si>
    <t>+91-7549890614</t>
  </si>
  <si>
    <t>BSH0702</t>
  </si>
  <si>
    <t>Swati Joshi</t>
  </si>
  <si>
    <t>+91-7061741186</t>
  </si>
  <si>
    <t>BSH0703</t>
  </si>
  <si>
    <t>Ayaan Kapoor</t>
  </si>
  <si>
    <t>+91-7796564977</t>
  </si>
  <si>
    <t>BSH0704</t>
  </si>
  <si>
    <t>Rahul Iyer</t>
  </si>
  <si>
    <t>+91-9058471122</t>
  </si>
  <si>
    <t>BSH0705</t>
  </si>
  <si>
    <t>Navya Sharma</t>
  </si>
  <si>
    <t>+91-9748717901</t>
  </si>
  <si>
    <t>BSH0706</t>
  </si>
  <si>
    <t>+91-9167777116</t>
  </si>
  <si>
    <t>BSH0707</t>
  </si>
  <si>
    <t>Ayaan Sharma</t>
  </si>
  <si>
    <t>+91-8831924736</t>
  </si>
  <si>
    <t>BSH0708</t>
  </si>
  <si>
    <t>+91-9551218098</t>
  </si>
  <si>
    <t>BSH0709</t>
  </si>
  <si>
    <t>Krishna Agarwal</t>
  </si>
  <si>
    <t>+91-9987827058</t>
  </si>
  <si>
    <t>BSH0710</t>
  </si>
  <si>
    <t>+91-9905068733</t>
  </si>
  <si>
    <t>BSH0711</t>
  </si>
  <si>
    <t>Aditya Agarwal</t>
  </si>
  <si>
    <t>+91-8994019094</t>
  </si>
  <si>
    <t>BSH0712</t>
  </si>
  <si>
    <t>+91-8361161229</t>
  </si>
  <si>
    <t>BSH0713</t>
  </si>
  <si>
    <t>Kiara Iyer</t>
  </si>
  <si>
    <t>+91-9233611979</t>
  </si>
  <si>
    <t>BSH0714</t>
  </si>
  <si>
    <t>Ishaan Joshi</t>
  </si>
  <si>
    <t>+91-7755075932</t>
  </si>
  <si>
    <t>BSH0715</t>
  </si>
  <si>
    <t>Vivaan Gupta</t>
  </si>
  <si>
    <t>+91-7807854206</t>
  </si>
  <si>
    <t>BSH0716</t>
  </si>
  <si>
    <t>Shreya Gupta</t>
  </si>
  <si>
    <t>+91-8367696071</t>
  </si>
  <si>
    <t>BSH0717</t>
  </si>
  <si>
    <t>+91-8461787018</t>
  </si>
  <si>
    <t>BSH0718</t>
  </si>
  <si>
    <t>Myra Pillai</t>
  </si>
  <si>
    <t>+91-7926972208</t>
  </si>
  <si>
    <t>BSH0719</t>
  </si>
  <si>
    <t>+91-8457347211</t>
  </si>
  <si>
    <t>BSH0720</t>
  </si>
  <si>
    <t>+91-8517499435</t>
  </si>
  <si>
    <t>BSH0721</t>
  </si>
  <si>
    <t>+91-7967012998</t>
  </si>
  <si>
    <t>BSH0722</t>
  </si>
  <si>
    <t>+91-8196138965</t>
  </si>
  <si>
    <t>BSH0723</t>
  </si>
  <si>
    <t>+91-9358657188</t>
  </si>
  <si>
    <t>BSH0724</t>
  </si>
  <si>
    <t>Ira Iyer</t>
  </si>
  <si>
    <t>+91-7051557163</t>
  </si>
  <si>
    <t>BSH0725</t>
  </si>
  <si>
    <t>Ananya Agarwal</t>
  </si>
  <si>
    <t>+91-8866873510</t>
  </si>
  <si>
    <t>BSH0726</t>
  </si>
  <si>
    <t>+91-9926489254</t>
  </si>
  <si>
    <t>BSH0727</t>
  </si>
  <si>
    <t>Riya Malhotra</t>
  </si>
  <si>
    <t>+91-9027325456</t>
  </si>
  <si>
    <t>BSH0728</t>
  </si>
  <si>
    <t>Navya Agarwal</t>
  </si>
  <si>
    <t>+91-9054241157</t>
  </si>
  <si>
    <t>BSH0729</t>
  </si>
  <si>
    <t>Deepak Rao</t>
  </si>
  <si>
    <t>+91-7015650644</t>
  </si>
  <si>
    <t>BSH0730</t>
  </si>
  <si>
    <t>Aadhya Malhotra</t>
  </si>
  <si>
    <t>+91-7946058038</t>
  </si>
  <si>
    <t>BSH0731</t>
  </si>
  <si>
    <t>Krishna Chopra</t>
  </si>
  <si>
    <t>+91-9959875435</t>
  </si>
  <si>
    <t>BSH0732</t>
  </si>
  <si>
    <t>+91-8775316830</t>
  </si>
  <si>
    <t>BSH0733</t>
  </si>
  <si>
    <t>Meera Gupta</t>
  </si>
  <si>
    <t>+91-8807286028</t>
  </si>
  <si>
    <t>BSH0734</t>
  </si>
  <si>
    <t>Aarav Pillai</t>
  </si>
  <si>
    <t>+91-7521964023</t>
  </si>
  <si>
    <t>BSH0735</t>
  </si>
  <si>
    <t>+91-8482247883</t>
  </si>
  <si>
    <t>BSH0736</t>
  </si>
  <si>
    <t>Reyansh Kumar</t>
  </si>
  <si>
    <t>+91-9771316298</t>
  </si>
  <si>
    <t>BSH0737</t>
  </si>
  <si>
    <t>Saanvi Verma</t>
  </si>
  <si>
    <t>+91-9980693550</t>
  </si>
  <si>
    <t>BSH0738</t>
  </si>
  <si>
    <t>+91-8419362690</t>
  </si>
  <si>
    <t>BSH0739</t>
  </si>
  <si>
    <t>Ayaan Pillai</t>
  </si>
  <si>
    <t>+91-8593894299</t>
  </si>
  <si>
    <t>BSH0740</t>
  </si>
  <si>
    <t>+91-7299161687</t>
  </si>
  <si>
    <t>BSH0741</t>
  </si>
  <si>
    <t>Manoj Agarwal</t>
  </si>
  <si>
    <t>+91-7822147257</t>
  </si>
  <si>
    <t>BSH0742</t>
  </si>
  <si>
    <t>Ira Malhotra</t>
  </si>
  <si>
    <t>+91-7333490033</t>
  </si>
  <si>
    <t>BSH0743</t>
  </si>
  <si>
    <t>+91-9790712105</t>
  </si>
  <si>
    <t>BSH0744</t>
  </si>
  <si>
    <t>Arjun Joshi</t>
  </si>
  <si>
    <t>+91-7536699958</t>
  </si>
  <si>
    <t>BSH0745</t>
  </si>
  <si>
    <t>Sneha Nair</t>
  </si>
  <si>
    <t>+91-8197221983</t>
  </si>
  <si>
    <t>BSH0746</t>
  </si>
  <si>
    <t>+91-9129798738</t>
  </si>
  <si>
    <t>BSH0747</t>
  </si>
  <si>
    <t>+91-7326014112</t>
  </si>
  <si>
    <t>BSH0748</t>
  </si>
  <si>
    <t>+91-9437257875</t>
  </si>
  <si>
    <t>BSH0749</t>
  </si>
  <si>
    <t>+91-9733366250</t>
  </si>
  <si>
    <t>BSH0750</t>
  </si>
  <si>
    <t>+91-9496033002</t>
  </si>
  <si>
    <t>BSH0751</t>
  </si>
  <si>
    <t>+91-9994765908</t>
  </si>
  <si>
    <t>BSH0752</t>
  </si>
  <si>
    <t>+91-8732197349</t>
  </si>
  <si>
    <t>BSH0753</t>
  </si>
  <si>
    <t>+91-9616472661</t>
  </si>
  <si>
    <t>BSH0754</t>
  </si>
  <si>
    <t>Rohan Chopra</t>
  </si>
  <si>
    <t>+91-7041962258</t>
  </si>
  <si>
    <t>BSH0755</t>
  </si>
  <si>
    <t>Rahul Kapoor</t>
  </si>
  <si>
    <t>+91-9249624614</t>
  </si>
  <si>
    <t>BSH0756</t>
  </si>
  <si>
    <t>+91-7545896063</t>
  </si>
  <si>
    <t>BSH0757</t>
  </si>
  <si>
    <t>Sneha Reddy</t>
  </si>
  <si>
    <t>+91-7651792202</t>
  </si>
  <si>
    <t>BSH0758</t>
  </si>
  <si>
    <t>+91-8566578847</t>
  </si>
  <si>
    <t>BSH0759</t>
  </si>
  <si>
    <t>Myra Joshi</t>
  </si>
  <si>
    <t>+91-7645651615</t>
  </si>
  <si>
    <t>BSH0760</t>
  </si>
  <si>
    <t>Neha Kumar</t>
  </si>
  <si>
    <t>+91-8283617112</t>
  </si>
  <si>
    <t>BSH0761</t>
  </si>
  <si>
    <t>Anika Joshi</t>
  </si>
  <si>
    <t>+91-9563353552</t>
  </si>
  <si>
    <t>BSH0762</t>
  </si>
  <si>
    <t>+91-9858888414</t>
  </si>
  <si>
    <t>BSH0763</t>
  </si>
  <si>
    <t>+91-9643544849</t>
  </si>
  <si>
    <t>BSH0764</t>
  </si>
  <si>
    <t>+91-7559733117</t>
  </si>
  <si>
    <t>BSH0765</t>
  </si>
  <si>
    <t>Saanvi Kumar</t>
  </si>
  <si>
    <t>+91-7353788122</t>
  </si>
  <si>
    <t>BSH0766</t>
  </si>
  <si>
    <t>+91-9533753031</t>
  </si>
  <si>
    <t>BSH0767</t>
  </si>
  <si>
    <t>+91-9345168283</t>
  </si>
  <si>
    <t>BSH0768</t>
  </si>
  <si>
    <t>+91-9679611606</t>
  </si>
  <si>
    <t>BSH0769</t>
  </si>
  <si>
    <t>+91-9321933720</t>
  </si>
  <si>
    <t>BSH0770</t>
  </si>
  <si>
    <t>+91-9996784743</t>
  </si>
  <si>
    <t>BSH0771</t>
  </si>
  <si>
    <t>Reyansh Chauhan</t>
  </si>
  <si>
    <t>+91-8785935470</t>
  </si>
  <si>
    <t>BSH0772</t>
  </si>
  <si>
    <t>+91-8308154985</t>
  </si>
  <si>
    <t>BSH0773</t>
  </si>
  <si>
    <t>+91-9334172875</t>
  </si>
  <si>
    <t>BSH0774</t>
  </si>
  <si>
    <t>+91-8506550595</t>
  </si>
  <si>
    <t>BSH0775</t>
  </si>
  <si>
    <t>+91-9908545532</t>
  </si>
  <si>
    <t>BSH0776</t>
  </si>
  <si>
    <t>Ravi Sharma</t>
  </si>
  <si>
    <t>+91-8194274266</t>
  </si>
  <si>
    <t>BSH0777</t>
  </si>
  <si>
    <t>+91-7874819040</t>
  </si>
  <si>
    <t>BSH0778</t>
  </si>
  <si>
    <t>+91-9190052685</t>
  </si>
  <si>
    <t>BSH0779</t>
  </si>
  <si>
    <t>+91-8528875984</t>
  </si>
  <si>
    <t>BSH0780</t>
  </si>
  <si>
    <t>+91-8805521517</t>
  </si>
  <si>
    <t>BSH0781</t>
  </si>
  <si>
    <t>+91-8653698975</t>
  </si>
  <si>
    <t>BSH0782</t>
  </si>
  <si>
    <t>+91-8948592862</t>
  </si>
  <si>
    <t>BSH0783</t>
  </si>
  <si>
    <t>Swati Chopra</t>
  </si>
  <si>
    <t>+91-8345610297</t>
  </si>
  <si>
    <t>BSH0784</t>
  </si>
  <si>
    <t>Pooja Verma</t>
  </si>
  <si>
    <t>+91-8605652173</t>
  </si>
  <si>
    <t>BSH0785</t>
  </si>
  <si>
    <t>+91-7949040503</t>
  </si>
  <si>
    <t>BSH0786</t>
  </si>
  <si>
    <t>Navya Patel</t>
  </si>
  <si>
    <t>+91-9695520836</t>
  </si>
  <si>
    <t>BSH0787</t>
  </si>
  <si>
    <t>Aarav Singh</t>
  </si>
  <si>
    <t>+91-8327164038</t>
  </si>
  <si>
    <t>BSH0788</t>
  </si>
  <si>
    <t>+91-9368792655</t>
  </si>
  <si>
    <t>BSH0789</t>
  </si>
  <si>
    <t>+91-9706167439</t>
  </si>
  <si>
    <t>BSH0790</t>
  </si>
  <si>
    <t>+91-8437041542</t>
  </si>
  <si>
    <t>BSH0791</t>
  </si>
  <si>
    <t>Deepak Chauhan</t>
  </si>
  <si>
    <t>+91-8406317823</t>
  </si>
  <si>
    <t>BSH0792</t>
  </si>
  <si>
    <t>+91-8430677624</t>
  </si>
  <si>
    <t>BSH0793</t>
  </si>
  <si>
    <t>Anika Rao</t>
  </si>
  <si>
    <t>+91-8010945892</t>
  </si>
  <si>
    <t>BSH0794</t>
  </si>
  <si>
    <t>Sneha Chauhan</t>
  </si>
  <si>
    <t>+91-9652679158</t>
  </si>
  <si>
    <t>BSH0795</t>
  </si>
  <si>
    <t>Ira Patel</t>
  </si>
  <si>
    <t>+91-8981666579</t>
  </si>
  <si>
    <t>BSH0796</t>
  </si>
  <si>
    <t>+91-9124653890</t>
  </si>
  <si>
    <t>BSH0797</t>
  </si>
  <si>
    <t>+91-8503570767</t>
  </si>
  <si>
    <t>BSH0798</t>
  </si>
  <si>
    <t>+91-8037334661</t>
  </si>
  <si>
    <t>BSH0799</t>
  </si>
  <si>
    <t>+91-8170680426</t>
  </si>
  <si>
    <t>BSH0800</t>
  </si>
  <si>
    <t>+91-8734514232</t>
  </si>
  <si>
    <t>BSH0801</t>
  </si>
  <si>
    <t>Karan Rao</t>
  </si>
  <si>
    <t>+91-9752893153</t>
  </si>
  <si>
    <t>BSH0802</t>
  </si>
  <si>
    <t>Suresh Rao</t>
  </si>
  <si>
    <t>+91-7454411785</t>
  </si>
  <si>
    <t>BSH0803</t>
  </si>
  <si>
    <t>+91-8422424016</t>
  </si>
  <si>
    <t>BSH0804</t>
  </si>
  <si>
    <t>+91-8412390211</t>
  </si>
  <si>
    <t>BSH0805</t>
  </si>
  <si>
    <t>Ravi Malhotra</t>
  </si>
  <si>
    <t>+91-8212762350</t>
  </si>
  <si>
    <t>BSH0806</t>
  </si>
  <si>
    <t>+91-9131781518</t>
  </si>
  <si>
    <t>BSH0807</t>
  </si>
  <si>
    <t>+91-9494181391</t>
  </si>
  <si>
    <t>BSH0808</t>
  </si>
  <si>
    <t>Deepak Malhotra</t>
  </si>
  <si>
    <t>+91-7534125698</t>
  </si>
  <si>
    <t>BSH0809</t>
  </si>
  <si>
    <t>Karan Chauhan</t>
  </si>
  <si>
    <t>+91-9723367194</t>
  </si>
  <si>
    <t>BSH0810</t>
  </si>
  <si>
    <t>+91-9731550807</t>
  </si>
  <si>
    <t>BSH0811</t>
  </si>
  <si>
    <t>Diya Malhotra</t>
  </si>
  <si>
    <t>+91-9580727070</t>
  </si>
  <si>
    <t>BSH0812</t>
  </si>
  <si>
    <t>+91-9147638929</t>
  </si>
  <si>
    <t>BSH0813</t>
  </si>
  <si>
    <t>Neha Yadav</t>
  </si>
  <si>
    <t>+91-9980691940</t>
  </si>
  <si>
    <t>BSH0814</t>
  </si>
  <si>
    <t>Swati Agarwal</t>
  </si>
  <si>
    <t>+91-7359264971</t>
  </si>
  <si>
    <t>BSH0815</t>
  </si>
  <si>
    <t>+91-8072227803</t>
  </si>
  <si>
    <t>BSH0816</t>
  </si>
  <si>
    <t>Swati Singh</t>
  </si>
  <si>
    <t>+91-9579936390</t>
  </si>
  <si>
    <t>BSH0817</t>
  </si>
  <si>
    <t>+91-7837371641</t>
  </si>
  <si>
    <t>BSH0818</t>
  </si>
  <si>
    <t>+91-7370215984</t>
  </si>
  <si>
    <t>BSH0819</t>
  </si>
  <si>
    <t>+91-9985188879</t>
  </si>
  <si>
    <t>BSH0820</t>
  </si>
  <si>
    <t>+91-9524785181</t>
  </si>
  <si>
    <t>BSH0821</t>
  </si>
  <si>
    <t>+91-7989051943</t>
  </si>
  <si>
    <t>BSH0822</t>
  </si>
  <si>
    <t>+91-7937324033</t>
  </si>
  <si>
    <t>BSH0823</t>
  </si>
  <si>
    <t>Aarav Sharma</t>
  </si>
  <si>
    <t>+91-9010582305</t>
  </si>
  <si>
    <t>BSH0824</t>
  </si>
  <si>
    <t>Neha Kapoor</t>
  </si>
  <si>
    <t>+91-7535815466</t>
  </si>
  <si>
    <t>BSH0825</t>
  </si>
  <si>
    <t>Kavya Reddy</t>
  </si>
  <si>
    <t>+91-9833054027</t>
  </si>
  <si>
    <t>BSH0826</t>
  </si>
  <si>
    <t>+91-8361854358</t>
  </si>
  <si>
    <t>BSH0827</t>
  </si>
  <si>
    <t>+91-7130832307</t>
  </si>
  <si>
    <t>BSH0828</t>
  </si>
  <si>
    <t>+91-8577096527</t>
  </si>
  <si>
    <t>BSH0829</t>
  </si>
  <si>
    <t>Aditya Chauhan</t>
  </si>
  <si>
    <t>+91-8361921362</t>
  </si>
  <si>
    <t>BSH0830</t>
  </si>
  <si>
    <t>+91-7455060791</t>
  </si>
  <si>
    <t>BSH0831</t>
  </si>
  <si>
    <t>+91-9229142710</t>
  </si>
  <si>
    <t>BSH0832</t>
  </si>
  <si>
    <t>Suresh Nair</t>
  </si>
  <si>
    <t>+91-8129186956</t>
  </si>
  <si>
    <t>BSH0833</t>
  </si>
  <si>
    <t>+91-7080864189</t>
  </si>
  <si>
    <t>BSH0834</t>
  </si>
  <si>
    <t>+91-9182157637</t>
  </si>
  <si>
    <t>BSH0835</t>
  </si>
  <si>
    <t>+91-8416726624</t>
  </si>
  <si>
    <t>BSH0836</t>
  </si>
  <si>
    <t>+91-8349212807</t>
  </si>
  <si>
    <t>BSH0837</t>
  </si>
  <si>
    <t>Diya Kumar</t>
  </si>
  <si>
    <t>+91-8723794695</t>
  </si>
  <si>
    <t>BSH0838</t>
  </si>
  <si>
    <t>Rohan Sharma</t>
  </si>
  <si>
    <t>+91-7258336824</t>
  </si>
  <si>
    <t>BSH0839</t>
  </si>
  <si>
    <t>+91-7864834115</t>
  </si>
  <si>
    <t>BSH0840</t>
  </si>
  <si>
    <t>+91-7521753827</t>
  </si>
  <si>
    <t>BSH0841</t>
  </si>
  <si>
    <t>+91-7653152136</t>
  </si>
  <si>
    <t>BSH0842</t>
  </si>
  <si>
    <t>+91-7708943547</t>
  </si>
  <si>
    <t>BSH0843</t>
  </si>
  <si>
    <t>Neha Bansal</t>
  </si>
  <si>
    <t>+91-8678726737</t>
  </si>
  <si>
    <t>BSH0844</t>
  </si>
  <si>
    <t>Karan Bansal</t>
  </si>
  <si>
    <t>+91-7639238504</t>
  </si>
  <si>
    <t>BSH0845</t>
  </si>
  <si>
    <t>+91-8871134228</t>
  </si>
  <si>
    <t>BSH0846</t>
  </si>
  <si>
    <t>+91-9895915224</t>
  </si>
  <si>
    <t>BSH0847</t>
  </si>
  <si>
    <t>Kiara Malhotra</t>
  </si>
  <si>
    <t>+91-7894399353</t>
  </si>
  <si>
    <t>BSH0848</t>
  </si>
  <si>
    <t>Ira Kapoor</t>
  </si>
  <si>
    <t>+91-8935084302</t>
  </si>
  <si>
    <t>BSH0849</t>
  </si>
  <si>
    <t>Aarav Nair</t>
  </si>
  <si>
    <t>+91-8257592620</t>
  </si>
  <si>
    <t>BSH0850</t>
  </si>
  <si>
    <t>+91-8952831171</t>
  </si>
  <si>
    <t>BSH0851</t>
  </si>
  <si>
    <t>+91-7618370728</t>
  </si>
  <si>
    <t>BSH0852</t>
  </si>
  <si>
    <t>Sanjay Rao</t>
  </si>
  <si>
    <t>+91-7342489464</t>
  </si>
  <si>
    <t>BSH0853</t>
  </si>
  <si>
    <t>Vikram Kumar</t>
  </si>
  <si>
    <t>+91-8514171913</t>
  </si>
  <si>
    <t>BSH0854</t>
  </si>
  <si>
    <t>Diya Chopra</t>
  </si>
  <si>
    <t>+91-9010320332</t>
  </si>
  <si>
    <t>BSH0855</t>
  </si>
  <si>
    <t>+91-9365070496</t>
  </si>
  <si>
    <t>BSH0856</t>
  </si>
  <si>
    <t>+91-8723275400</t>
  </si>
  <si>
    <t>BSH0857</t>
  </si>
  <si>
    <t>Suresh Gupta</t>
  </si>
  <si>
    <t>+91-9594154681</t>
  </si>
  <si>
    <t>BSH0858</t>
  </si>
  <si>
    <t>+91-9960144319</t>
  </si>
  <si>
    <t>BSH0859</t>
  </si>
  <si>
    <t>+91-9843949774</t>
  </si>
  <si>
    <t>BSH0860</t>
  </si>
  <si>
    <t>+91-7991955905</t>
  </si>
  <si>
    <t>BSH0861</t>
  </si>
  <si>
    <t>Diya Pillai</t>
  </si>
  <si>
    <t>+91-9720730101</t>
  </si>
  <si>
    <t>BSH0862</t>
  </si>
  <si>
    <t>Ishaan Gupta</t>
  </si>
  <si>
    <t>+91-7407275482</t>
  </si>
  <si>
    <t>BSH0863</t>
  </si>
  <si>
    <t>Krishna Iyer</t>
  </si>
  <si>
    <t>+91-7960469117</t>
  </si>
  <si>
    <t>BSH0864</t>
  </si>
  <si>
    <t>+91-7934217169</t>
  </si>
  <si>
    <t>BSH0865</t>
  </si>
  <si>
    <t>+91-8900065558</t>
  </si>
  <si>
    <t>BSH0866</t>
  </si>
  <si>
    <t>+91-8491982022</t>
  </si>
  <si>
    <t>BSH0867</t>
  </si>
  <si>
    <t>+91-7870120417</t>
  </si>
  <si>
    <t>BSH0868</t>
  </si>
  <si>
    <t>+91-9361137086</t>
  </si>
  <si>
    <t>BSH0869</t>
  </si>
  <si>
    <t>+91-7761076740</t>
  </si>
  <si>
    <t>BSH0870</t>
  </si>
  <si>
    <t>+91-8240223687</t>
  </si>
  <si>
    <t>BSH0871</t>
  </si>
  <si>
    <t>+91-9405129482</t>
  </si>
  <si>
    <t>BSH0872</t>
  </si>
  <si>
    <t>+91-7423266850</t>
  </si>
  <si>
    <t>BSH0873</t>
  </si>
  <si>
    <t>+91-9237459138</t>
  </si>
  <si>
    <t>BSH0874</t>
  </si>
  <si>
    <t>+91-7452737130</t>
  </si>
  <si>
    <t>BSH0875</t>
  </si>
  <si>
    <t>+91-9948877211</t>
  </si>
  <si>
    <t>BSH0876</t>
  </si>
  <si>
    <t>+91-8504092551</t>
  </si>
  <si>
    <t>BSH0877</t>
  </si>
  <si>
    <t>Kiara Rao</t>
  </si>
  <si>
    <t>+91-7450212060</t>
  </si>
  <si>
    <t>BSH0878</t>
  </si>
  <si>
    <t>+91-9279991134</t>
  </si>
  <si>
    <t>BSH0879</t>
  </si>
  <si>
    <t>+91-7353753991</t>
  </si>
  <si>
    <t>BSH0880</t>
  </si>
  <si>
    <t>+91-7465311250</t>
  </si>
  <si>
    <t>BSH0881</t>
  </si>
  <si>
    <t>Riya Rao</t>
  </si>
  <si>
    <t>+91-8909018592</t>
  </si>
  <si>
    <t>BSH0882</t>
  </si>
  <si>
    <t>Sneha Joshi</t>
  </si>
  <si>
    <t>+91-7297617167</t>
  </si>
  <si>
    <t>BSH0883</t>
  </si>
  <si>
    <t>Rahul Nair</t>
  </si>
  <si>
    <t>+91-9195986081</t>
  </si>
  <si>
    <t>BSH0884</t>
  </si>
  <si>
    <t>+91-9929314020</t>
  </si>
  <si>
    <t>BSH0885</t>
  </si>
  <si>
    <t>+91-7690167849</t>
  </si>
  <si>
    <t>BSH0886</t>
  </si>
  <si>
    <t>Anika Mehta</t>
  </si>
  <si>
    <t>+91-7632686952</t>
  </si>
  <si>
    <t>BSH0887</t>
  </si>
  <si>
    <t>+91-9861039076</t>
  </si>
  <si>
    <t>BSH0888</t>
  </si>
  <si>
    <t>+91-8282275876</t>
  </si>
  <si>
    <t>BSH0889</t>
  </si>
  <si>
    <t>Reyansh Verma</t>
  </si>
  <si>
    <t>+91-9751693104</t>
  </si>
  <si>
    <t>BSH0890</t>
  </si>
  <si>
    <t>Pooja Chopra</t>
  </si>
  <si>
    <t>+91-7642954552</t>
  </si>
  <si>
    <t>BSH0891</t>
  </si>
  <si>
    <t>+91-8849793047</t>
  </si>
  <si>
    <t>BSH0892</t>
  </si>
  <si>
    <t>Arjun Malhotra</t>
  </si>
  <si>
    <t>+91-7195141351</t>
  </si>
  <si>
    <t>BSH0893</t>
  </si>
  <si>
    <t>Neha Pillai</t>
  </si>
  <si>
    <t>+91-8191328335</t>
  </si>
  <si>
    <t>BSH0894</t>
  </si>
  <si>
    <t>+91-9372254680</t>
  </si>
  <si>
    <t>BSH0895</t>
  </si>
  <si>
    <t>Vihaan Chauhan</t>
  </si>
  <si>
    <t>+91-7603153555</t>
  </si>
  <si>
    <t>BSH0896</t>
  </si>
  <si>
    <t>Meera Kumar</t>
  </si>
  <si>
    <t>+91-8779669203</t>
  </si>
  <si>
    <t>BSH0897</t>
  </si>
  <si>
    <t>+91-9369127943</t>
  </si>
  <si>
    <t>BSH0898</t>
  </si>
  <si>
    <t>Vikram Agarwal</t>
  </si>
  <si>
    <t>+91-9435410645</t>
  </si>
  <si>
    <t>BSH0899</t>
  </si>
  <si>
    <t>Vihaan Patel</t>
  </si>
  <si>
    <t>+91-7460995494</t>
  </si>
  <si>
    <t>BSH0900</t>
  </si>
  <si>
    <t>+91-8283684497</t>
  </si>
  <si>
    <t>BSH0901</t>
  </si>
  <si>
    <t>+91-8628513355</t>
  </si>
  <si>
    <t>BSH0902</t>
  </si>
  <si>
    <t>+91-8079115110</t>
  </si>
  <si>
    <t>BSH0903</t>
  </si>
  <si>
    <t>+91-8603052738</t>
  </si>
  <si>
    <t>BSH0904</t>
  </si>
  <si>
    <t>+91-9560476443</t>
  </si>
  <si>
    <t>BSH0905</t>
  </si>
  <si>
    <t>Priya Mehta</t>
  </si>
  <si>
    <t>+91-8500027201</t>
  </si>
  <si>
    <t>BSH0906</t>
  </si>
  <si>
    <t>+91-7738297056</t>
  </si>
  <si>
    <t>BSH0907</t>
  </si>
  <si>
    <t>+91-8566017949</t>
  </si>
  <si>
    <t>BSH0908</t>
  </si>
  <si>
    <t>+91-9713932843</t>
  </si>
  <si>
    <t>BSH0909</t>
  </si>
  <si>
    <t>Manoj Rao</t>
  </si>
  <si>
    <t>+91-7074345593</t>
  </si>
  <si>
    <t>BSH0910</t>
  </si>
  <si>
    <t>+91-9988648586</t>
  </si>
  <si>
    <t>BSH0911</t>
  </si>
  <si>
    <t>Vikram Kapoor</t>
  </si>
  <si>
    <t>+91-7431333780</t>
  </si>
  <si>
    <t>BSH0912</t>
  </si>
  <si>
    <t>+91-7644026310</t>
  </si>
  <si>
    <t>BSH0913</t>
  </si>
  <si>
    <t>+91-7767170979</t>
  </si>
  <si>
    <t>BSH0914</t>
  </si>
  <si>
    <t>Manoj Kumar</t>
  </si>
  <si>
    <t>+91-9931193442</t>
  </si>
  <si>
    <t>BSH0915</t>
  </si>
  <si>
    <t>Navya Rao</t>
  </si>
  <si>
    <t>+91-8355336549</t>
  </si>
  <si>
    <t>BSH0916</t>
  </si>
  <si>
    <t>Diya Joshi</t>
  </si>
  <si>
    <t>+91-8665125585</t>
  </si>
  <si>
    <t>BSH0917</t>
  </si>
  <si>
    <t>+91-7431269284</t>
  </si>
  <si>
    <t>BSH0918</t>
  </si>
  <si>
    <t>Saanvi Nair</t>
  </si>
  <si>
    <t>+91-8445369489</t>
  </si>
  <si>
    <t>BSH0919</t>
  </si>
  <si>
    <t>Krishna Chauhan</t>
  </si>
  <si>
    <t>+91-8050995575</t>
  </si>
  <si>
    <t>BSH0920</t>
  </si>
  <si>
    <t>+91-9097057329</t>
  </si>
  <si>
    <t>BSH0921</t>
  </si>
  <si>
    <t>+91-9957664721</t>
  </si>
  <si>
    <t>BSH0922</t>
  </si>
  <si>
    <t>+91-7296472241</t>
  </si>
  <si>
    <t>BSH0923</t>
  </si>
  <si>
    <t>+91-8136230498</t>
  </si>
  <si>
    <t>BSH0924</t>
  </si>
  <si>
    <t>+91-9222486588</t>
  </si>
  <si>
    <t>BSH0925</t>
  </si>
  <si>
    <t>+91-8961442849</t>
  </si>
  <si>
    <t>BSH0926</t>
  </si>
  <si>
    <t>+91-8376095769</t>
  </si>
  <si>
    <t>BSH0927</t>
  </si>
  <si>
    <t>+91-7803456185</t>
  </si>
  <si>
    <t>BSH0928</t>
  </si>
  <si>
    <t>Priya Reddy</t>
  </si>
  <si>
    <t>+91-7734184809</t>
  </si>
  <si>
    <t>BSH0929</t>
  </si>
  <si>
    <t>+91-9322898623</t>
  </si>
  <si>
    <t>BSH0930</t>
  </si>
  <si>
    <t>+91-7850855081</t>
  </si>
  <si>
    <t>BSH0931</t>
  </si>
  <si>
    <t>+91-9337983348</t>
  </si>
  <si>
    <t>BSH0932</t>
  </si>
  <si>
    <t>Aarav Chopra</t>
  </si>
  <si>
    <t>+91-9353174047</t>
  </si>
  <si>
    <t>BSH0933</t>
  </si>
  <si>
    <t>Ananya Iyer</t>
  </si>
  <si>
    <t>+91-7335553854</t>
  </si>
  <si>
    <t>BSH0934</t>
  </si>
  <si>
    <t>Ravi Chopra</t>
  </si>
  <si>
    <t>+91-9994197770</t>
  </si>
  <si>
    <t>BSH0935</t>
  </si>
  <si>
    <t>+91-7706850177</t>
  </si>
  <si>
    <t>BSH0936</t>
  </si>
  <si>
    <t>+91-8105741616</t>
  </si>
  <si>
    <t>BSH0937</t>
  </si>
  <si>
    <t>Reyansh Kapoor</t>
  </si>
  <si>
    <t>+91-7637930193</t>
  </si>
  <si>
    <t>BSH0938</t>
  </si>
  <si>
    <t>+91-9772629287</t>
  </si>
  <si>
    <t>BSH0939</t>
  </si>
  <si>
    <t>Neha Chopra</t>
  </si>
  <si>
    <t>+91-8777648739</t>
  </si>
  <si>
    <t>BSH0940</t>
  </si>
  <si>
    <t>+91-7292622760</t>
  </si>
  <si>
    <t>BSH0941</t>
  </si>
  <si>
    <t>Ananya Bansal</t>
  </si>
  <si>
    <t>+91-7046594511</t>
  </si>
  <si>
    <t>BSH0942</t>
  </si>
  <si>
    <t>+91-8641689321</t>
  </si>
  <si>
    <t>BSH0943</t>
  </si>
  <si>
    <t>+91-8895643068</t>
  </si>
  <si>
    <t>BSH0944</t>
  </si>
  <si>
    <t>Anika Reddy</t>
  </si>
  <si>
    <t>+91-9320441799</t>
  </si>
  <si>
    <t>BSH0945</t>
  </si>
  <si>
    <t>+91-8221239108</t>
  </si>
  <si>
    <t>BSH0946</t>
  </si>
  <si>
    <t>+91-7131217089</t>
  </si>
  <si>
    <t>BSH0947</t>
  </si>
  <si>
    <t>+91-8206693506</t>
  </si>
  <si>
    <t>BSH0948</t>
  </si>
  <si>
    <t>Anjali Singh</t>
  </si>
  <si>
    <t>+91-9886975012</t>
  </si>
  <si>
    <t>BSH0949</t>
  </si>
  <si>
    <t>+91-9761187289</t>
  </si>
  <si>
    <t>BSH0950</t>
  </si>
  <si>
    <t>Meera Kapoor</t>
  </si>
  <si>
    <t>+91-9620284847</t>
  </si>
  <si>
    <t>BSH0951</t>
  </si>
  <si>
    <t>+91-9622397160</t>
  </si>
  <si>
    <t>BSH0952</t>
  </si>
  <si>
    <t>+91-9082426462</t>
  </si>
  <si>
    <t>BSH0953</t>
  </si>
  <si>
    <t>+91-7659539365</t>
  </si>
  <si>
    <t>BSH0954</t>
  </si>
  <si>
    <t>+91-8297470239</t>
  </si>
  <si>
    <t>BSH0955</t>
  </si>
  <si>
    <t>+91-9900493328</t>
  </si>
  <si>
    <t>BSH0956</t>
  </si>
  <si>
    <t>Priya Gupta</t>
  </si>
  <si>
    <t>+91-7014869875</t>
  </si>
  <si>
    <t>BSH0957</t>
  </si>
  <si>
    <t>Meera Singh</t>
  </si>
  <si>
    <t>+91-7041160253</t>
  </si>
  <si>
    <t>BSH0958</t>
  </si>
  <si>
    <t>+91-7372025174</t>
  </si>
  <si>
    <t>BSH0959</t>
  </si>
  <si>
    <t>+91-7563294670</t>
  </si>
  <si>
    <t>BSH0960</t>
  </si>
  <si>
    <t>+91-8529578328</t>
  </si>
  <si>
    <t>BSH0961</t>
  </si>
  <si>
    <t>+91-7392436857</t>
  </si>
  <si>
    <t>BSH0962</t>
  </si>
  <si>
    <t>Riya Kumar</t>
  </si>
  <si>
    <t>+91-8970538860</t>
  </si>
  <si>
    <t>BSH0963</t>
  </si>
  <si>
    <t>+91-7628298211</t>
  </si>
  <si>
    <t>BSH0964</t>
  </si>
  <si>
    <t>Ravi Joshi</t>
  </si>
  <si>
    <t>+91-7404898184</t>
  </si>
  <si>
    <t>BSH0965</t>
  </si>
  <si>
    <t>+91-7762366634</t>
  </si>
  <si>
    <t>BSH0966</t>
  </si>
  <si>
    <t>+91-8350280962</t>
  </si>
  <si>
    <t>BSH0967</t>
  </si>
  <si>
    <t>+91-7267814137</t>
  </si>
  <si>
    <t>BSH0968</t>
  </si>
  <si>
    <t>+91-9585568867</t>
  </si>
  <si>
    <t>BSH0969</t>
  </si>
  <si>
    <t>+91-8560239954</t>
  </si>
  <si>
    <t>BSH0970</t>
  </si>
  <si>
    <t>Aarav Gupta</t>
  </si>
  <si>
    <t>+91-9286224663</t>
  </si>
  <si>
    <t>BSH0971</t>
  </si>
  <si>
    <t>+91-9144988318</t>
  </si>
  <si>
    <t>BSH0972</t>
  </si>
  <si>
    <t>+91-8581986672</t>
  </si>
  <si>
    <t>BSH0973</t>
  </si>
  <si>
    <t>+91-7974580032</t>
  </si>
  <si>
    <t>BSH0974</t>
  </si>
  <si>
    <t>+91-9817178253</t>
  </si>
  <si>
    <t>BSH0975</t>
  </si>
  <si>
    <t>+91-9972659654</t>
  </si>
  <si>
    <t>BSH0976</t>
  </si>
  <si>
    <t>+91-9061178308</t>
  </si>
  <si>
    <t>BSH0977</t>
  </si>
  <si>
    <t>+91-8778776679</t>
  </si>
  <si>
    <t>BSH0978</t>
  </si>
  <si>
    <t>+91-8200443044</t>
  </si>
  <si>
    <t>BSH0979</t>
  </si>
  <si>
    <t>+91-8443167081</t>
  </si>
  <si>
    <t>BSH0980</t>
  </si>
  <si>
    <t>+91-7861497601</t>
  </si>
  <si>
    <t>BSH0981</t>
  </si>
  <si>
    <t>Ananya Reddy</t>
  </si>
  <si>
    <t>+91-8566917395</t>
  </si>
  <si>
    <t>BSH0982</t>
  </si>
  <si>
    <t>+91-8730925436</t>
  </si>
  <si>
    <t>BSH0983</t>
  </si>
  <si>
    <t>+91-9067836715</t>
  </si>
  <si>
    <t>BSH0984</t>
  </si>
  <si>
    <t>+91-9015095491</t>
  </si>
  <si>
    <t>BSH0985</t>
  </si>
  <si>
    <t>Suresh Iyer</t>
  </si>
  <si>
    <t>+91-9201728977</t>
  </si>
  <si>
    <t>BSH0986</t>
  </si>
  <si>
    <t>+91-7503657366</t>
  </si>
  <si>
    <t>BSH0987</t>
  </si>
  <si>
    <t>+91-8200639184</t>
  </si>
  <si>
    <t>BSH0988</t>
  </si>
  <si>
    <t>Anjali Pillai</t>
  </si>
  <si>
    <t>+91-8703251608</t>
  </si>
  <si>
    <t>BSH0989</t>
  </si>
  <si>
    <t>+91-7729835431</t>
  </si>
  <si>
    <t>BSH0990</t>
  </si>
  <si>
    <t>+91-8623586228</t>
  </si>
  <si>
    <t>BSH0991</t>
  </si>
  <si>
    <t>Suresh Kapoor</t>
  </si>
  <si>
    <t>+91-7172565451</t>
  </si>
  <si>
    <t>BSH0992</t>
  </si>
  <si>
    <t>+91-7402055663</t>
  </si>
  <si>
    <t>BSH0993</t>
  </si>
  <si>
    <t>+91-8658012534</t>
  </si>
  <si>
    <t>BSH0994</t>
  </si>
  <si>
    <t>+91-7176272738</t>
  </si>
  <si>
    <t>BSH0995</t>
  </si>
  <si>
    <t>+91-7879470607</t>
  </si>
  <si>
    <t>BSH0996</t>
  </si>
  <si>
    <t>+91-7335537725</t>
  </si>
  <si>
    <t>BSH0997</t>
  </si>
  <si>
    <t>+91-8586939835</t>
  </si>
  <si>
    <t>BSH0998</t>
  </si>
  <si>
    <t>Anjali Bansal</t>
  </si>
  <si>
    <t>+91-7551630006</t>
  </si>
  <si>
    <t>BSH0999</t>
  </si>
  <si>
    <t>+91-8606159916</t>
  </si>
  <si>
    <t>BSH1000</t>
  </si>
  <si>
    <t>+91-7127082796</t>
  </si>
  <si>
    <t>Row Labels</t>
  </si>
  <si>
    <t>Grand Total</t>
  </si>
  <si>
    <t>Sum of Total Revenue ($)</t>
  </si>
  <si>
    <t>Sum of No. of Sales</t>
  </si>
  <si>
    <t>Sum of Cash</t>
  </si>
  <si>
    <t>Sum of Bank Loan</t>
  </si>
  <si>
    <t>Sum of EMI - HDFC</t>
  </si>
  <si>
    <t>Sum of EMI - Bajaj Finserv</t>
  </si>
  <si>
    <t>Sum of Credit Card</t>
  </si>
  <si>
    <t>Sum of UPI</t>
  </si>
  <si>
    <t>Sum of Cheque</t>
  </si>
  <si>
    <t>Sum of Total Buyers</t>
  </si>
  <si>
    <t>Sum of With Insurance (Yes)</t>
  </si>
  <si>
    <t>Sum of Without Insurance (No)</t>
  </si>
  <si>
    <t>Sum of With Exchange (Yes)</t>
  </si>
  <si>
    <t>Sum of Without Exchange (No)</t>
  </si>
  <si>
    <t>Sum of Avg Discount (%)</t>
  </si>
  <si>
    <t>Two-Wheeler Retail &amp; Fulfillment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</si>
</sst>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numFmt numFmtId="165" formatCode="0.0\%"/>
  </numFmts>
  <fonts count="3" x14ac:knownFonts="1">
    <font>
      <sz val="11"/>
      <color theme="1"/>
      <name val="Calibri"/>
      <family val="2"/>
      <charset val="1"/>
    </font>
    <font>
      <b/>
      <sz val="11"/>
      <name val="Cambria"/>
      <family val="1"/>
    </font>
    <font>
      <b/>
      <i/>
      <sz val="48"/>
      <color theme="0"/>
      <name val="Algerian"/>
      <family val="5"/>
    </font>
  </fonts>
  <fills count="5">
    <fill>
      <patternFill patternType="none"/>
    </fill>
    <fill>
      <patternFill patternType="gray125"/>
    </fill>
    <fill>
      <patternFill patternType="solid">
        <fgColor theme="4" tint="-0.249977111117893"/>
        <bgColor indexed="64"/>
      </patternFill>
    </fill>
    <fill>
      <patternFill patternType="solid">
        <fgColor theme="4"/>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rgb="FFCC00FF"/>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double">
        <color theme="9" tint="-0.499984740745262"/>
      </top>
      <bottom/>
      <diagonal/>
    </border>
    <border>
      <left/>
      <right/>
      <top/>
      <bottom style="double">
        <color theme="9" tint="-0.499984740745262"/>
      </bottom>
      <diagonal/>
    </border>
    <border>
      <left/>
      <right style="double">
        <color theme="9" tint="-0.499984740745262"/>
      </right>
      <top/>
      <bottom/>
      <diagonal/>
    </border>
    <border>
      <left/>
      <right style="double">
        <color theme="9" tint="-0.499984740745262"/>
      </right>
      <top/>
      <bottom style="double">
        <color theme="9" tint="-0.499984740745262"/>
      </bottom>
      <diagonal/>
    </border>
    <border>
      <left style="double">
        <color theme="9" tint="-0.499984740745262"/>
      </left>
      <right/>
      <top/>
      <bottom/>
      <diagonal/>
    </border>
    <border>
      <left style="double">
        <color theme="9" tint="-0.499984740745262"/>
      </left>
      <right/>
      <top style="medium">
        <color indexed="64"/>
      </top>
      <bottom/>
      <diagonal/>
    </border>
    <border>
      <left style="double">
        <color theme="9" tint="-0.499984740745262"/>
      </left>
      <right/>
      <top/>
      <bottom style="medium">
        <color indexed="64"/>
      </bottom>
      <diagonal/>
    </border>
    <border>
      <left/>
      <right style="double">
        <color theme="9" tint="-0.499984740745262"/>
      </right>
      <top style="double">
        <color theme="9" tint="-0.499984740745262"/>
      </top>
      <bottom/>
      <diagonal/>
    </border>
    <border>
      <left style="double">
        <color theme="9" tint="-0.499984740745262"/>
      </left>
      <right/>
      <top style="double">
        <color theme="9" tint="-0.499984740745262"/>
      </top>
      <bottom/>
      <diagonal/>
    </border>
    <border>
      <left style="double">
        <color theme="9" tint="-0.499984740745262"/>
      </left>
      <right/>
      <top/>
      <bottom style="double">
        <color theme="9" tint="-0.499984740745262"/>
      </bottom>
      <diagonal/>
    </border>
  </borders>
  <cellStyleXfs count="1">
    <xf numFmtId="0" fontId="0" fillId="0" borderId="0"/>
  </cellStyleXfs>
  <cellXfs count="34">
    <xf numFmtId="0" fontId="0" fillId="0" borderId="0" xfId="0"/>
    <xf numFmtId="0" fontId="1" fillId="0" borderId="0" xfId="0" applyFont="1"/>
    <xf numFmtId="164" fontId="0" fillId="0" borderId="0" xfId="0" applyNumberFormat="1"/>
    <xf numFmtId="0" fontId="0" fillId="0" borderId="1" xfId="0" applyBorder="1"/>
    <xf numFmtId="164" fontId="0" fillId="0" borderId="1" xfId="0" applyNumberFormat="1" applyBorder="1"/>
    <xf numFmtId="165" fontId="0" fillId="0" borderId="1" xfId="0" applyNumberFormat="1" applyBorder="1"/>
    <xf numFmtId="0" fontId="0" fillId="0" borderId="0" xfId="0" pivotButton="1"/>
    <xf numFmtId="0" fontId="0" fillId="0" borderId="0" xfId="0" applyAlignment="1">
      <alignment horizontal="left"/>
    </xf>
    <xf numFmtId="165" fontId="0" fillId="0" borderId="0" xfId="0" applyNumberFormat="1"/>
    <xf numFmtId="0" fontId="0" fillId="0" borderId="0" xfId="0" applyBorder="1"/>
    <xf numFmtId="0" fontId="0" fillId="0" borderId="12" xfId="0" applyBorder="1"/>
    <xf numFmtId="0" fontId="0" fillId="2" borderId="16" xfId="0" applyFill="1" applyBorder="1" applyAlignment="1">
      <alignment horizontal="center"/>
    </xf>
    <xf numFmtId="0" fontId="0" fillId="2" borderId="8" xfId="0" applyFill="1" applyBorder="1" applyAlignment="1">
      <alignment horizontal="center"/>
    </xf>
    <xf numFmtId="0" fontId="0" fillId="2" borderId="15" xfId="0" applyFill="1" applyBorder="1" applyAlignment="1">
      <alignment horizontal="center"/>
    </xf>
    <xf numFmtId="0" fontId="0" fillId="2" borderId="12" xfId="0" applyFill="1" applyBorder="1" applyAlignment="1">
      <alignment horizontal="center"/>
    </xf>
    <xf numFmtId="0" fontId="0" fillId="2" borderId="0" xfId="0" applyFill="1" applyBorder="1" applyAlignment="1">
      <alignment horizontal="center"/>
    </xf>
    <xf numFmtId="0" fontId="0" fillId="2" borderId="10" xfId="0" applyFill="1" applyBorder="1" applyAlignment="1">
      <alignment horizontal="center"/>
    </xf>
    <xf numFmtId="0" fontId="0" fillId="2" borderId="17" xfId="0" applyFill="1" applyBorder="1" applyAlignment="1">
      <alignment horizont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13"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2" borderId="14"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0" xfId="0" applyFill="1" applyAlignment="1">
      <alignment horizontal="center"/>
    </xf>
    <xf numFmtId="0" fontId="0" fillId="0" borderId="0" xfId="0" applyAlignment="1"/>
    <xf numFmtId="0" fontId="0" fillId="4" borderId="0" xfId="0" applyFill="1" applyAlignment="1">
      <alignment horizontal="center"/>
    </xf>
    <xf numFmtId="0" fontId="0" fillId="0" borderId="0" xfId="0" applyFill="1"/>
    <xf numFmtId="0" fontId="2" fillId="3" borderId="0" xfId="0" applyFont="1" applyFill="1" applyBorder="1" applyAlignment="1">
      <alignment horizontal="center"/>
    </xf>
    <xf numFmtId="0" fontId="2" fillId="0" borderId="2" xfId="0" applyFont="1" applyFill="1" applyBorder="1" applyAlignment="1">
      <alignment horizontal="center"/>
    </xf>
    <xf numFmtId="0" fontId="2" fillId="0" borderId="0" xfId="0" applyFont="1" applyFill="1" applyBorder="1" applyAlignment="1">
      <alignment horizontal="center"/>
    </xf>
  </cellXfs>
  <cellStyles count="1">
    <cellStyle name="Normal" xfId="0" builtinId="0"/>
  </cellStyles>
  <dxfs count="20">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1" defaultTableStyle="TableStyleMedium2" defaultPivotStyle="PivotStyleLight16">
    <tableStyle name="Slicer Style 1" pivot="0" table="0" count="0" xr9:uid="{DB367BE0-95D7-4888-A468-E581BECB404F}"/>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AA64F"/>
      <rgbColor rgb="FF800080"/>
      <rgbColor rgb="FF4F81BD"/>
      <rgbColor rgb="FFB3B3B3"/>
      <rgbColor rgb="FF8064A2"/>
      <rgbColor rgb="FF93A9CE"/>
      <rgbColor rgb="FFAB4744"/>
      <rgbColor rgb="FFF2F2F2"/>
      <rgbColor rgb="FFCCFFFF"/>
      <rgbColor rgb="FF660066"/>
      <rgbColor rgb="FFDC853E"/>
      <rgbColor rgb="FF0066CC"/>
      <rgbColor rgb="FFD0D0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D09493"/>
      <rgbColor rgb="FFCC99FF"/>
      <rgbColor rgb="FFFFCC99"/>
      <rgbColor rgb="FF4672A8"/>
      <rgbColor rgb="FF4BACC6"/>
      <rgbColor rgb="FF9BBB59"/>
      <rgbColor rgb="FFFFCC00"/>
      <rgbColor rgb="FFFF9900"/>
      <rgbColor rgb="FFFF6600"/>
      <rgbColor rgb="FF725990"/>
      <rgbColor rgb="FFB0B0B0"/>
      <rgbColor rgb="FF003366"/>
      <rgbColor rgb="FF4299B0"/>
      <rgbColor rgb="FF003300"/>
      <rgbColor rgb="FF333300"/>
      <rgbColor rgb="FF7A1F1F"/>
      <rgbColor rgb="FFC0504D"/>
      <rgbColor rgb="FF333399"/>
      <rgbColor rgb="FF595959"/>
      <rgbColor rgb="00003366"/>
      <rgbColor rgb="00339966"/>
      <rgbColor rgb="00003300"/>
      <rgbColor rgb="00333300"/>
      <rgbColor rgb="00993300"/>
      <rgbColor rgb="00993366"/>
      <rgbColor rgb="00333399"/>
      <rgbColor rgb="00333333"/>
    </indexedColors>
    <mruColors>
      <color rgb="FFF1F5F9"/>
      <color rgb="FFCCFFCC"/>
      <color rgb="FF0D4253"/>
      <color rgb="FF0033CC"/>
      <color rgb="FFA79159"/>
      <color rgb="FFFFFFFF"/>
      <color rgb="FFDDDDDD"/>
      <color rgb="FFCC00FF"/>
      <color rgb="FFCC99F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4.xml"/><Relationship Id="rId39" Type="http://schemas.microsoft.com/office/2007/relationships/slicerCache" Target="slicerCaches/slicerCache17.xml"/><Relationship Id="rId21" Type="http://schemas.openxmlformats.org/officeDocument/2006/relationships/pivotCacheDefinition" Target="pivotCache/pivotCacheDefinition9.xml"/><Relationship Id="rId34" Type="http://schemas.microsoft.com/office/2007/relationships/slicerCache" Target="slicerCaches/slicerCache12.xml"/><Relationship Id="rId42" Type="http://schemas.microsoft.com/office/2007/relationships/slicerCache" Target="slicerCaches/slicerCache20.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microsoft.com/office/2007/relationships/slicerCache" Target="slicerCaches/slicerCache10.xml"/><Relationship Id="rId37" Type="http://schemas.microsoft.com/office/2007/relationships/slicerCache" Target="slicerCaches/slicerCache15.xml"/><Relationship Id="rId40" Type="http://schemas.microsoft.com/office/2007/relationships/slicerCache" Target="slicerCaches/slicerCache18.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microsoft.com/office/2007/relationships/slicerCache" Target="slicerCaches/slicerCache6.xml"/><Relationship Id="rId36" Type="http://schemas.microsoft.com/office/2007/relationships/slicerCache" Target="slicerCaches/slicerCache14.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microsoft.com/office/2007/relationships/slicerCache" Target="slicerCaches/slicerCache9.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5.xml"/><Relationship Id="rId30" Type="http://schemas.microsoft.com/office/2007/relationships/slicerCache" Target="slicerCaches/slicerCache8.xml"/><Relationship Id="rId35" Type="http://schemas.microsoft.com/office/2007/relationships/slicerCache" Target="slicerCaches/slicerCache13.xml"/><Relationship Id="rId43" Type="http://schemas.microsoft.com/office/2007/relationships/slicerCache" Target="slicerCaches/slicerCache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microsoft.com/office/2007/relationships/slicerCache" Target="slicerCaches/slicerCache11.xml"/><Relationship Id="rId38" Type="http://schemas.microsoft.com/office/2007/relationships/slicerCache" Target="slicerCaches/slicerCache16.xml"/><Relationship Id="rId46" Type="http://schemas.openxmlformats.org/officeDocument/2006/relationships/sharedStrings" Target="sharedStrings.xml"/><Relationship Id="rId20" Type="http://schemas.openxmlformats.org/officeDocument/2006/relationships/pivotCacheDefinition" Target="pivotCache/pivotCacheDefinition8.xml"/><Relationship Id="rId41" Type="http://schemas.microsoft.com/office/2007/relationships/slicerCache" Target="slicerCaches/slicerCache19.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[bike_showroom_dashboard_enhanced.xlsx]Sales By Festival!PivotTable1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Times New Roman" panose="02020603050405020304" pitchFamily="18" charset="0"/>
                <a:cs typeface="Times New Roman" panose="02020603050405020304" pitchFamily="18" charset="0"/>
              </a:rPr>
              <a:t>Sales By Festival</a:t>
            </a:r>
          </a:p>
        </c:rich>
      </c:tx>
      <c:layout>
        <c:manualLayout>
          <c:xMode val="edge"/>
          <c:yMode val="edge"/>
          <c:x val="0.34237561171249015"/>
          <c:y val="6.0319504783945328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marker>
          <c:symbol val="none"/>
        </c:marker>
        <c:dLbl>
          <c:idx val="0"/>
          <c:delete val="1"/>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3"/>
          </a:solidFill>
          <a:ln w="19050">
            <a:solidFill>
              <a:schemeClr val="lt1"/>
            </a:solidFill>
          </a:ln>
          <a:effectLst/>
        </c:spPr>
      </c:pivotFmt>
      <c:pivotFmt>
        <c:idx val="31"/>
        <c:spPr>
          <a:solidFill>
            <a:schemeClr val="accent4"/>
          </a:solidFill>
          <a:ln w="19050">
            <a:solidFill>
              <a:schemeClr val="lt1"/>
            </a:solidFill>
          </a:ln>
          <a:effectLst/>
        </c:spPr>
      </c:pivotFmt>
      <c:pivotFmt>
        <c:idx val="32"/>
        <c:spPr>
          <a:solidFill>
            <a:schemeClr val="accent5"/>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1">
              <a:lumMod val="60000"/>
            </a:schemeClr>
          </a:solidFill>
          <a:ln w="19050">
            <a:solidFill>
              <a:schemeClr val="lt1"/>
            </a:solidFill>
          </a:ln>
          <a:effectLst/>
        </c:spPr>
      </c:pivotFmt>
      <c:pivotFmt>
        <c:idx val="35"/>
        <c:spPr>
          <a:solidFill>
            <a:schemeClr val="accent2">
              <a:lumMod val="60000"/>
            </a:schemeClr>
          </a:solidFill>
          <a:ln w="19050">
            <a:solidFill>
              <a:schemeClr val="lt1"/>
            </a:solidFill>
          </a:ln>
          <a:effectLst/>
        </c:spPr>
      </c:pivotFmt>
      <c:pivotFmt>
        <c:idx val="36"/>
        <c:spPr>
          <a:solidFill>
            <a:schemeClr val="accent3">
              <a:lumMod val="60000"/>
            </a:schemeClr>
          </a:solidFill>
          <a:ln w="19050">
            <a:solidFill>
              <a:schemeClr val="lt1"/>
            </a:solidFill>
          </a:ln>
          <a:effectLst/>
        </c:spPr>
      </c:pivotFmt>
      <c:pivotFmt>
        <c:idx val="37"/>
        <c:spPr>
          <a:solidFill>
            <a:schemeClr val="accent4">
              <a:lumMod val="60000"/>
            </a:schemeClr>
          </a:solidFill>
          <a:ln w="19050">
            <a:solidFill>
              <a:schemeClr val="lt1"/>
            </a:solidFill>
          </a:ln>
          <a:effectLst/>
        </c:spPr>
      </c:pivotFmt>
      <c:pivotFmt>
        <c:idx val="38"/>
        <c:spPr>
          <a:solidFill>
            <a:schemeClr val="accent5">
              <a:lumMod val="60000"/>
            </a:schemeClr>
          </a:solidFill>
          <a:ln w="19050">
            <a:solidFill>
              <a:schemeClr val="lt1"/>
            </a:solidFill>
          </a:ln>
          <a:effectLst/>
        </c:spPr>
      </c:pivotFmt>
      <c:pivotFmt>
        <c:idx val="39"/>
        <c:spPr>
          <a:solidFill>
            <a:schemeClr val="accent6">
              <a:lumMod val="60000"/>
            </a:schemeClr>
          </a:solidFill>
          <a:ln w="19050">
            <a:solidFill>
              <a:schemeClr val="lt1"/>
            </a:solidFill>
          </a:ln>
          <a:effectLst/>
        </c:spPr>
      </c:pivotFmt>
      <c:pivotFmt>
        <c:idx val="40"/>
        <c:marker>
          <c:symbol val="none"/>
        </c:marker>
        <c:dLbl>
          <c:idx val="0"/>
          <c:delete val="1"/>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2"/>
          </a:solidFill>
          <a:ln w="19050">
            <a:solidFill>
              <a:schemeClr val="lt1"/>
            </a:solidFill>
          </a:ln>
          <a:effectLst/>
        </c:spPr>
      </c:pivotFmt>
      <c:pivotFmt>
        <c:idx val="43"/>
        <c:spPr>
          <a:solidFill>
            <a:schemeClr val="accent3"/>
          </a:solidFill>
          <a:ln w="19050">
            <a:solidFill>
              <a:schemeClr val="lt1"/>
            </a:solidFill>
          </a:ln>
          <a:effectLst/>
        </c:spPr>
      </c:pivotFmt>
      <c:pivotFmt>
        <c:idx val="44"/>
        <c:spPr>
          <a:solidFill>
            <a:schemeClr val="accent4"/>
          </a:solidFill>
          <a:ln w="19050">
            <a:solidFill>
              <a:schemeClr val="lt1"/>
            </a:solidFill>
          </a:ln>
          <a:effectLst/>
        </c:spPr>
      </c:pivotFmt>
      <c:pivotFmt>
        <c:idx val="45"/>
        <c:spPr>
          <a:solidFill>
            <a:schemeClr val="accent5"/>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1">
              <a:lumMod val="60000"/>
            </a:schemeClr>
          </a:solidFill>
          <a:ln w="19050">
            <a:solidFill>
              <a:schemeClr val="lt1"/>
            </a:solidFill>
          </a:ln>
          <a:effectLst/>
        </c:spPr>
      </c:pivotFmt>
      <c:pivotFmt>
        <c:idx val="48"/>
        <c:spPr>
          <a:solidFill>
            <a:schemeClr val="accent2">
              <a:lumMod val="60000"/>
            </a:schemeClr>
          </a:solidFill>
          <a:ln w="19050">
            <a:solidFill>
              <a:schemeClr val="lt1"/>
            </a:solidFill>
          </a:ln>
          <a:effectLst/>
        </c:spPr>
      </c:pivotFmt>
      <c:pivotFmt>
        <c:idx val="49"/>
        <c:spPr>
          <a:solidFill>
            <a:schemeClr val="accent3">
              <a:lumMod val="60000"/>
            </a:schemeClr>
          </a:solidFill>
          <a:ln w="19050">
            <a:solidFill>
              <a:schemeClr val="lt1"/>
            </a:solidFill>
          </a:ln>
          <a:effectLst/>
        </c:spPr>
      </c:pivotFmt>
      <c:pivotFmt>
        <c:idx val="50"/>
        <c:spPr>
          <a:solidFill>
            <a:schemeClr val="accent4">
              <a:lumMod val="60000"/>
            </a:schemeClr>
          </a:solidFill>
          <a:ln w="19050">
            <a:solidFill>
              <a:schemeClr val="lt1"/>
            </a:solidFill>
          </a:ln>
          <a:effectLst/>
        </c:spPr>
      </c:pivotFmt>
      <c:pivotFmt>
        <c:idx val="51"/>
        <c:spPr>
          <a:solidFill>
            <a:schemeClr val="accent5">
              <a:lumMod val="60000"/>
            </a:schemeClr>
          </a:solidFill>
          <a:ln w="19050">
            <a:solidFill>
              <a:schemeClr val="lt1"/>
            </a:solidFill>
          </a:ln>
          <a:effectLst/>
        </c:spPr>
      </c:pivotFmt>
      <c:pivotFmt>
        <c:idx val="52"/>
        <c:spPr>
          <a:solidFill>
            <a:schemeClr val="accent6">
              <a:lumMod val="60000"/>
            </a:schemeClr>
          </a:solidFill>
          <a:ln w="19050">
            <a:solidFill>
              <a:schemeClr val="lt1"/>
            </a:solidFill>
          </a:ln>
          <a:effectLst/>
        </c:spPr>
      </c:pivotFmt>
      <c:pivotFmt>
        <c:idx val="53"/>
        <c:marker>
          <c:symbol val="none"/>
        </c:marker>
        <c:dLbl>
          <c:idx val="0"/>
          <c:delete val="1"/>
          <c:extLst>
            <c:ext xmlns:c15="http://schemas.microsoft.com/office/drawing/2012/chart" uri="{CE6537A1-D6FC-4f65-9D91-7224C49458BB}"/>
          </c:extLst>
        </c:dLbl>
      </c:pivotFmt>
      <c:pivotFmt>
        <c:idx val="54"/>
        <c:spPr>
          <a:solidFill>
            <a:schemeClr val="accent1"/>
          </a:solidFill>
          <a:ln w="19050">
            <a:solidFill>
              <a:schemeClr val="lt1"/>
            </a:solidFill>
          </a:ln>
          <a:effectLst/>
        </c:spPr>
      </c:pivotFmt>
      <c:pivotFmt>
        <c:idx val="55"/>
        <c:spPr>
          <a:solidFill>
            <a:schemeClr val="accent2"/>
          </a:solidFill>
          <a:ln w="19050">
            <a:solidFill>
              <a:schemeClr val="lt1"/>
            </a:solidFill>
          </a:ln>
          <a:effectLst/>
        </c:spPr>
      </c:pivotFmt>
      <c:pivotFmt>
        <c:idx val="56"/>
        <c:spPr>
          <a:solidFill>
            <a:schemeClr val="accent3"/>
          </a:solidFill>
          <a:ln w="19050">
            <a:solidFill>
              <a:schemeClr val="lt1"/>
            </a:solidFill>
          </a:ln>
          <a:effectLst/>
        </c:spPr>
      </c:pivotFmt>
      <c:pivotFmt>
        <c:idx val="57"/>
        <c:spPr>
          <a:solidFill>
            <a:schemeClr val="accent4"/>
          </a:solidFill>
          <a:ln w="19050">
            <a:solidFill>
              <a:schemeClr val="lt1"/>
            </a:solidFill>
          </a:ln>
          <a:effectLst/>
        </c:spPr>
      </c:pivotFmt>
      <c:pivotFmt>
        <c:idx val="58"/>
        <c:spPr>
          <a:solidFill>
            <a:schemeClr val="accent5"/>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1">
              <a:lumMod val="60000"/>
            </a:schemeClr>
          </a:solidFill>
          <a:ln w="19050">
            <a:solidFill>
              <a:schemeClr val="lt1"/>
            </a:solidFill>
          </a:ln>
          <a:effectLst/>
        </c:spPr>
      </c:pivotFmt>
      <c:pivotFmt>
        <c:idx val="61"/>
        <c:spPr>
          <a:solidFill>
            <a:schemeClr val="accent2">
              <a:lumMod val="60000"/>
            </a:schemeClr>
          </a:solidFill>
          <a:ln w="19050">
            <a:solidFill>
              <a:schemeClr val="lt1"/>
            </a:solidFill>
          </a:ln>
          <a:effectLst/>
        </c:spPr>
      </c:pivotFmt>
      <c:pivotFmt>
        <c:idx val="62"/>
        <c:spPr>
          <a:solidFill>
            <a:schemeClr val="accent3">
              <a:lumMod val="60000"/>
            </a:schemeClr>
          </a:solidFill>
          <a:ln w="19050">
            <a:solidFill>
              <a:schemeClr val="lt1"/>
            </a:solidFill>
          </a:ln>
          <a:effectLst/>
        </c:spPr>
      </c:pivotFmt>
      <c:pivotFmt>
        <c:idx val="63"/>
        <c:spPr>
          <a:solidFill>
            <a:schemeClr val="accent4">
              <a:lumMod val="60000"/>
            </a:schemeClr>
          </a:solidFill>
          <a:ln w="19050">
            <a:solidFill>
              <a:schemeClr val="lt1"/>
            </a:solidFill>
          </a:ln>
          <a:effectLst/>
        </c:spPr>
      </c:pivotFmt>
      <c:pivotFmt>
        <c:idx val="64"/>
        <c:spPr>
          <a:solidFill>
            <a:schemeClr val="accent5">
              <a:lumMod val="60000"/>
            </a:schemeClr>
          </a:solidFill>
          <a:ln w="19050">
            <a:solidFill>
              <a:schemeClr val="lt1"/>
            </a:solidFill>
          </a:ln>
          <a:effectLst/>
        </c:spPr>
      </c:pivotFmt>
      <c:pivotFmt>
        <c:idx val="65"/>
        <c:spPr>
          <a:solidFill>
            <a:schemeClr val="accent6">
              <a:lumMod val="60000"/>
            </a:schemeClr>
          </a:solidFill>
          <a:ln w="19050">
            <a:solidFill>
              <a:schemeClr val="lt1"/>
            </a:solidFill>
          </a:ln>
          <a:effectLst/>
        </c:spPr>
      </c:pivotFmt>
      <c:pivotFmt>
        <c:idx val="66"/>
        <c:marker>
          <c:symbol val="none"/>
        </c:marker>
        <c:dLbl>
          <c:idx val="0"/>
          <c:delete val="1"/>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2"/>
          </a:solidFill>
          <a:ln w="19050">
            <a:solidFill>
              <a:schemeClr val="lt1"/>
            </a:solidFill>
          </a:ln>
          <a:effectLst/>
        </c:spPr>
      </c:pivotFmt>
      <c:pivotFmt>
        <c:idx val="69"/>
        <c:spPr>
          <a:solidFill>
            <a:schemeClr val="accent3"/>
          </a:solidFill>
          <a:ln w="19050">
            <a:solidFill>
              <a:schemeClr val="lt1"/>
            </a:solidFill>
          </a:ln>
          <a:effectLst/>
        </c:spPr>
      </c:pivotFmt>
      <c:pivotFmt>
        <c:idx val="70"/>
        <c:spPr>
          <a:solidFill>
            <a:schemeClr val="accent4"/>
          </a:solidFill>
          <a:ln w="19050">
            <a:solidFill>
              <a:schemeClr val="lt1"/>
            </a:solidFill>
          </a:ln>
          <a:effectLst/>
        </c:spPr>
      </c:pivotFmt>
      <c:pivotFmt>
        <c:idx val="71"/>
        <c:spPr>
          <a:solidFill>
            <a:schemeClr val="accent5"/>
          </a:solidFill>
          <a:ln w="19050">
            <a:solidFill>
              <a:schemeClr val="lt1"/>
            </a:solidFill>
          </a:ln>
          <a:effectLst/>
        </c:spPr>
      </c:pivotFmt>
      <c:pivotFmt>
        <c:idx val="72"/>
        <c:spPr>
          <a:solidFill>
            <a:schemeClr val="accent6"/>
          </a:solidFill>
          <a:ln w="19050">
            <a:solidFill>
              <a:schemeClr val="lt1"/>
            </a:solidFill>
          </a:ln>
          <a:effectLst/>
        </c:spPr>
      </c:pivotFmt>
      <c:pivotFmt>
        <c:idx val="73"/>
        <c:spPr>
          <a:solidFill>
            <a:schemeClr val="accent1">
              <a:lumMod val="60000"/>
            </a:schemeClr>
          </a:solidFill>
          <a:ln w="19050">
            <a:solidFill>
              <a:schemeClr val="lt1"/>
            </a:solidFill>
          </a:ln>
          <a:effectLst/>
        </c:spPr>
      </c:pivotFmt>
      <c:pivotFmt>
        <c:idx val="74"/>
        <c:spPr>
          <a:solidFill>
            <a:schemeClr val="accent2">
              <a:lumMod val="60000"/>
            </a:schemeClr>
          </a:solidFill>
          <a:ln w="19050">
            <a:solidFill>
              <a:schemeClr val="lt1"/>
            </a:solidFill>
          </a:ln>
          <a:effectLst/>
        </c:spPr>
      </c:pivotFmt>
      <c:pivotFmt>
        <c:idx val="75"/>
        <c:spPr>
          <a:solidFill>
            <a:schemeClr val="accent3">
              <a:lumMod val="60000"/>
            </a:schemeClr>
          </a:solidFill>
          <a:ln w="19050">
            <a:solidFill>
              <a:schemeClr val="lt1"/>
            </a:solidFill>
          </a:ln>
          <a:effectLst/>
        </c:spPr>
      </c:pivotFmt>
      <c:pivotFmt>
        <c:idx val="76"/>
        <c:spPr>
          <a:solidFill>
            <a:schemeClr val="accent4">
              <a:lumMod val="60000"/>
            </a:schemeClr>
          </a:solidFill>
          <a:ln w="19050">
            <a:solidFill>
              <a:schemeClr val="lt1"/>
            </a:solidFill>
          </a:ln>
          <a:effectLst/>
        </c:spPr>
      </c:pivotFmt>
      <c:pivotFmt>
        <c:idx val="77"/>
        <c:spPr>
          <a:solidFill>
            <a:schemeClr val="accent5">
              <a:lumMod val="60000"/>
            </a:schemeClr>
          </a:solidFill>
          <a:ln w="19050">
            <a:solidFill>
              <a:schemeClr val="lt1"/>
            </a:solidFill>
          </a:ln>
          <a:effectLst/>
        </c:spPr>
      </c:pivotFmt>
      <c:pivotFmt>
        <c:idx val="78"/>
        <c:spPr>
          <a:solidFill>
            <a:schemeClr val="accent6">
              <a:lumMod val="60000"/>
            </a:schemeClr>
          </a:solidFill>
          <a:ln w="19050">
            <a:solidFill>
              <a:schemeClr val="lt1"/>
            </a:solidFill>
          </a:ln>
          <a:effectLst/>
        </c:spPr>
      </c:pivotFmt>
      <c:pivotFmt>
        <c:idx val="79"/>
        <c:marker>
          <c:symbol val="none"/>
        </c:marker>
        <c:dLbl>
          <c:idx val="0"/>
          <c:delete val="1"/>
          <c:extLst>
            <c:ext xmlns:c15="http://schemas.microsoft.com/office/drawing/2012/chart" uri="{CE6537A1-D6FC-4f65-9D91-7224C49458BB}"/>
          </c:extLst>
        </c:dLbl>
      </c:pivotFmt>
      <c:pivotFmt>
        <c:idx val="80"/>
        <c:spPr>
          <a:solidFill>
            <a:schemeClr val="accent1"/>
          </a:solidFill>
          <a:ln w="19050">
            <a:solidFill>
              <a:schemeClr val="lt1"/>
            </a:solidFill>
          </a:ln>
          <a:effectLst/>
        </c:spPr>
      </c:pivotFmt>
      <c:pivotFmt>
        <c:idx val="81"/>
        <c:spPr>
          <a:solidFill>
            <a:schemeClr val="accent2"/>
          </a:solidFill>
          <a:ln w="19050">
            <a:solidFill>
              <a:schemeClr val="lt1"/>
            </a:solidFill>
          </a:ln>
          <a:effectLst/>
        </c:spPr>
      </c:pivotFmt>
      <c:pivotFmt>
        <c:idx val="82"/>
        <c:spPr>
          <a:solidFill>
            <a:schemeClr val="accent3"/>
          </a:solidFill>
          <a:ln w="19050">
            <a:solidFill>
              <a:schemeClr val="lt1"/>
            </a:solidFill>
          </a:ln>
          <a:effectLst/>
        </c:spPr>
      </c:pivotFmt>
      <c:pivotFmt>
        <c:idx val="83"/>
        <c:spPr>
          <a:solidFill>
            <a:schemeClr val="accent4"/>
          </a:solidFill>
          <a:ln w="19050">
            <a:solidFill>
              <a:schemeClr val="lt1"/>
            </a:solidFill>
          </a:ln>
          <a:effectLst/>
        </c:spPr>
      </c:pivotFmt>
      <c:pivotFmt>
        <c:idx val="84"/>
        <c:spPr>
          <a:solidFill>
            <a:schemeClr val="accent5"/>
          </a:solidFill>
          <a:ln w="19050">
            <a:solidFill>
              <a:schemeClr val="lt1"/>
            </a:solidFill>
          </a:ln>
          <a:effectLst/>
        </c:spPr>
      </c:pivotFmt>
      <c:pivotFmt>
        <c:idx val="85"/>
        <c:spPr>
          <a:solidFill>
            <a:schemeClr val="accent6"/>
          </a:solidFill>
          <a:ln w="19050">
            <a:solidFill>
              <a:schemeClr val="lt1"/>
            </a:solidFill>
          </a:ln>
          <a:effectLst/>
        </c:spPr>
      </c:pivotFmt>
      <c:pivotFmt>
        <c:idx val="86"/>
        <c:spPr>
          <a:solidFill>
            <a:schemeClr val="accent1">
              <a:lumMod val="60000"/>
            </a:schemeClr>
          </a:solidFill>
          <a:ln w="19050">
            <a:solidFill>
              <a:schemeClr val="lt1"/>
            </a:solidFill>
          </a:ln>
          <a:effectLst/>
        </c:spPr>
      </c:pivotFmt>
      <c:pivotFmt>
        <c:idx val="87"/>
        <c:spPr>
          <a:solidFill>
            <a:schemeClr val="accent2">
              <a:lumMod val="60000"/>
            </a:schemeClr>
          </a:solidFill>
          <a:ln w="19050">
            <a:solidFill>
              <a:schemeClr val="lt1"/>
            </a:solidFill>
          </a:ln>
          <a:effectLst/>
        </c:spPr>
      </c:pivotFmt>
      <c:pivotFmt>
        <c:idx val="88"/>
        <c:spPr>
          <a:solidFill>
            <a:schemeClr val="accent3">
              <a:lumMod val="60000"/>
            </a:schemeClr>
          </a:solidFill>
          <a:ln w="19050">
            <a:solidFill>
              <a:schemeClr val="lt1"/>
            </a:solidFill>
          </a:ln>
          <a:effectLst/>
        </c:spPr>
      </c:pivotFmt>
      <c:pivotFmt>
        <c:idx val="89"/>
        <c:spPr>
          <a:solidFill>
            <a:schemeClr val="accent4">
              <a:lumMod val="60000"/>
            </a:schemeClr>
          </a:solidFill>
          <a:ln w="19050">
            <a:solidFill>
              <a:schemeClr val="lt1"/>
            </a:solidFill>
          </a:ln>
          <a:effectLst/>
        </c:spPr>
      </c:pivotFmt>
      <c:pivotFmt>
        <c:idx val="90"/>
        <c:spPr>
          <a:solidFill>
            <a:schemeClr val="accent5">
              <a:lumMod val="60000"/>
            </a:schemeClr>
          </a:solidFill>
          <a:ln w="19050">
            <a:solidFill>
              <a:schemeClr val="lt1"/>
            </a:solidFill>
          </a:ln>
          <a:effectLst/>
        </c:spPr>
      </c:pivotFmt>
      <c:pivotFmt>
        <c:idx val="91"/>
        <c:spPr>
          <a:solidFill>
            <a:schemeClr val="accent6">
              <a:lumMod val="60000"/>
            </a:schemeClr>
          </a:solidFill>
          <a:ln w="19050">
            <a:solidFill>
              <a:schemeClr val="lt1"/>
            </a:solidFill>
          </a:ln>
          <a:effectLst/>
        </c:spPr>
      </c:pivotFmt>
      <c:pivotFmt>
        <c:idx val="92"/>
        <c:marker>
          <c:symbol val="none"/>
        </c:marker>
        <c:dLbl>
          <c:idx val="0"/>
          <c:delete val="1"/>
          <c:extLst>
            <c:ext xmlns:c15="http://schemas.microsoft.com/office/drawing/2012/chart" uri="{CE6537A1-D6FC-4f65-9D91-7224C49458BB}"/>
          </c:extLst>
        </c:dLbl>
      </c:pivotFmt>
      <c:pivotFmt>
        <c:idx val="93"/>
        <c:spPr>
          <a:solidFill>
            <a:schemeClr val="accent1"/>
          </a:solidFill>
          <a:ln w="19050">
            <a:solidFill>
              <a:schemeClr val="lt1"/>
            </a:solidFill>
          </a:ln>
          <a:effectLst/>
        </c:spPr>
      </c:pivotFmt>
      <c:pivotFmt>
        <c:idx val="94"/>
        <c:spPr>
          <a:solidFill>
            <a:schemeClr val="accent2"/>
          </a:solidFill>
          <a:ln w="19050">
            <a:solidFill>
              <a:schemeClr val="lt1"/>
            </a:solidFill>
          </a:ln>
          <a:effectLst/>
        </c:spPr>
      </c:pivotFmt>
      <c:pivotFmt>
        <c:idx val="95"/>
        <c:spPr>
          <a:solidFill>
            <a:schemeClr val="accent3"/>
          </a:solidFill>
          <a:ln w="19050">
            <a:solidFill>
              <a:schemeClr val="lt1"/>
            </a:solidFill>
          </a:ln>
          <a:effectLst/>
        </c:spPr>
      </c:pivotFmt>
      <c:pivotFmt>
        <c:idx val="96"/>
        <c:spPr>
          <a:solidFill>
            <a:schemeClr val="accent4"/>
          </a:solidFill>
          <a:ln w="19050">
            <a:solidFill>
              <a:schemeClr val="lt1"/>
            </a:solidFill>
          </a:ln>
          <a:effectLst/>
        </c:spPr>
      </c:pivotFmt>
      <c:pivotFmt>
        <c:idx val="97"/>
        <c:spPr>
          <a:solidFill>
            <a:schemeClr val="accent5"/>
          </a:solidFill>
          <a:ln w="19050">
            <a:solidFill>
              <a:schemeClr val="lt1"/>
            </a:solidFill>
          </a:ln>
          <a:effectLst/>
        </c:spPr>
      </c:pivotFmt>
      <c:pivotFmt>
        <c:idx val="98"/>
        <c:spPr>
          <a:solidFill>
            <a:schemeClr val="accent6"/>
          </a:solidFill>
          <a:ln w="19050">
            <a:solidFill>
              <a:schemeClr val="lt1"/>
            </a:solidFill>
          </a:ln>
          <a:effectLst/>
        </c:spPr>
      </c:pivotFmt>
      <c:pivotFmt>
        <c:idx val="99"/>
        <c:spPr>
          <a:solidFill>
            <a:schemeClr val="accent1">
              <a:lumMod val="60000"/>
            </a:schemeClr>
          </a:solidFill>
          <a:ln w="19050">
            <a:solidFill>
              <a:schemeClr val="lt1"/>
            </a:solidFill>
          </a:ln>
          <a:effectLst/>
        </c:spPr>
      </c:pivotFmt>
      <c:pivotFmt>
        <c:idx val="100"/>
        <c:spPr>
          <a:solidFill>
            <a:schemeClr val="accent2">
              <a:lumMod val="60000"/>
            </a:schemeClr>
          </a:solidFill>
          <a:ln w="19050">
            <a:solidFill>
              <a:schemeClr val="lt1"/>
            </a:solidFill>
          </a:ln>
          <a:effectLst/>
        </c:spPr>
      </c:pivotFmt>
      <c:pivotFmt>
        <c:idx val="101"/>
        <c:spPr>
          <a:solidFill>
            <a:schemeClr val="accent3">
              <a:lumMod val="60000"/>
            </a:schemeClr>
          </a:solidFill>
          <a:ln w="19050">
            <a:solidFill>
              <a:schemeClr val="lt1"/>
            </a:solidFill>
          </a:ln>
          <a:effectLst/>
        </c:spPr>
      </c:pivotFmt>
      <c:pivotFmt>
        <c:idx val="102"/>
        <c:spPr>
          <a:solidFill>
            <a:schemeClr val="accent4">
              <a:lumMod val="60000"/>
            </a:schemeClr>
          </a:solidFill>
          <a:ln w="19050">
            <a:solidFill>
              <a:schemeClr val="lt1"/>
            </a:solidFill>
          </a:ln>
          <a:effectLst/>
        </c:spPr>
      </c:pivotFmt>
      <c:pivotFmt>
        <c:idx val="103"/>
        <c:spPr>
          <a:solidFill>
            <a:schemeClr val="accent5">
              <a:lumMod val="60000"/>
            </a:schemeClr>
          </a:solidFill>
          <a:ln w="19050">
            <a:solidFill>
              <a:schemeClr val="lt1"/>
            </a:solidFill>
          </a:ln>
          <a:effectLst/>
        </c:spPr>
      </c:pivotFmt>
      <c:pivotFmt>
        <c:idx val="104"/>
        <c:spPr>
          <a:solidFill>
            <a:schemeClr val="accent6">
              <a:lumMod val="60000"/>
            </a:schemeClr>
          </a:solidFill>
          <a:ln w="19050">
            <a:solidFill>
              <a:schemeClr val="lt1"/>
            </a:solidFill>
          </a:ln>
          <a:effectLst/>
        </c:spPr>
      </c:pivotFmt>
      <c:pivotFmt>
        <c:idx val="105"/>
        <c:marker>
          <c:symbol val="none"/>
        </c:marker>
        <c:dLbl>
          <c:idx val="0"/>
          <c:delete val="1"/>
          <c:extLst>
            <c:ext xmlns:c15="http://schemas.microsoft.com/office/drawing/2012/chart" uri="{CE6537A1-D6FC-4f65-9D91-7224C49458BB}"/>
          </c:extLst>
        </c:dLbl>
      </c:pivotFmt>
      <c:pivotFmt>
        <c:idx val="106"/>
        <c:spPr>
          <a:solidFill>
            <a:schemeClr val="accent1"/>
          </a:solidFill>
          <a:ln w="19050">
            <a:solidFill>
              <a:schemeClr val="lt1"/>
            </a:solidFill>
          </a:ln>
          <a:effectLst/>
        </c:spPr>
      </c:pivotFmt>
      <c:pivotFmt>
        <c:idx val="107"/>
        <c:spPr>
          <a:solidFill>
            <a:schemeClr val="accent2"/>
          </a:solidFill>
          <a:ln w="19050">
            <a:solidFill>
              <a:schemeClr val="lt1"/>
            </a:solidFill>
          </a:ln>
          <a:effectLst/>
        </c:spPr>
      </c:pivotFmt>
      <c:pivotFmt>
        <c:idx val="108"/>
        <c:spPr>
          <a:solidFill>
            <a:schemeClr val="accent3"/>
          </a:solidFill>
          <a:ln w="19050">
            <a:solidFill>
              <a:schemeClr val="lt1"/>
            </a:solidFill>
          </a:ln>
          <a:effectLst/>
        </c:spPr>
      </c:pivotFmt>
      <c:pivotFmt>
        <c:idx val="109"/>
        <c:spPr>
          <a:solidFill>
            <a:schemeClr val="accent4"/>
          </a:solidFill>
          <a:ln w="19050">
            <a:solidFill>
              <a:schemeClr val="lt1"/>
            </a:solidFill>
          </a:ln>
          <a:effectLst/>
        </c:spPr>
      </c:pivotFmt>
      <c:pivotFmt>
        <c:idx val="110"/>
        <c:spPr>
          <a:solidFill>
            <a:schemeClr val="accent5"/>
          </a:solidFill>
          <a:ln w="19050">
            <a:solidFill>
              <a:schemeClr val="lt1"/>
            </a:solidFill>
          </a:ln>
          <a:effectLst/>
        </c:spPr>
      </c:pivotFmt>
      <c:pivotFmt>
        <c:idx val="111"/>
        <c:spPr>
          <a:solidFill>
            <a:schemeClr val="accent6"/>
          </a:solidFill>
          <a:ln w="19050">
            <a:solidFill>
              <a:schemeClr val="lt1"/>
            </a:solidFill>
          </a:ln>
          <a:effectLst/>
        </c:spPr>
      </c:pivotFmt>
      <c:pivotFmt>
        <c:idx val="112"/>
        <c:spPr>
          <a:solidFill>
            <a:schemeClr val="accent1">
              <a:lumMod val="60000"/>
            </a:schemeClr>
          </a:solidFill>
          <a:ln w="19050">
            <a:solidFill>
              <a:schemeClr val="lt1"/>
            </a:solidFill>
          </a:ln>
          <a:effectLst/>
        </c:spPr>
      </c:pivotFmt>
      <c:pivotFmt>
        <c:idx val="113"/>
        <c:spPr>
          <a:solidFill>
            <a:schemeClr val="accent2">
              <a:lumMod val="60000"/>
            </a:schemeClr>
          </a:solidFill>
          <a:ln w="19050">
            <a:solidFill>
              <a:schemeClr val="lt1"/>
            </a:solidFill>
          </a:ln>
          <a:effectLst/>
        </c:spPr>
      </c:pivotFmt>
      <c:pivotFmt>
        <c:idx val="114"/>
        <c:spPr>
          <a:solidFill>
            <a:schemeClr val="accent3">
              <a:lumMod val="60000"/>
            </a:schemeClr>
          </a:solidFill>
          <a:ln w="19050">
            <a:solidFill>
              <a:schemeClr val="lt1"/>
            </a:solidFill>
          </a:ln>
          <a:effectLst/>
        </c:spPr>
      </c:pivotFmt>
      <c:pivotFmt>
        <c:idx val="115"/>
        <c:spPr>
          <a:solidFill>
            <a:schemeClr val="accent4">
              <a:lumMod val="60000"/>
            </a:schemeClr>
          </a:solidFill>
          <a:ln w="19050">
            <a:solidFill>
              <a:schemeClr val="lt1"/>
            </a:solidFill>
          </a:ln>
          <a:effectLst/>
        </c:spPr>
      </c:pivotFmt>
      <c:pivotFmt>
        <c:idx val="116"/>
        <c:spPr>
          <a:solidFill>
            <a:schemeClr val="accent5">
              <a:lumMod val="60000"/>
            </a:schemeClr>
          </a:solidFill>
          <a:ln w="19050">
            <a:solidFill>
              <a:schemeClr val="lt1"/>
            </a:solidFill>
          </a:ln>
          <a:effectLst/>
        </c:spPr>
      </c:pivotFmt>
      <c:pivotFmt>
        <c:idx val="117"/>
        <c:spPr>
          <a:solidFill>
            <a:schemeClr val="accent6">
              <a:lumMod val="60000"/>
            </a:schemeClr>
          </a:solidFill>
          <a:ln w="19050">
            <a:solidFill>
              <a:schemeClr val="lt1"/>
            </a:solidFill>
          </a:ln>
          <a:effectLst/>
        </c:spPr>
      </c:pivotFmt>
    </c:pivotFmts>
    <c:plotArea>
      <c:layout/>
      <c:barChart>
        <c:barDir val="bar"/>
        <c:grouping val="clustered"/>
        <c:varyColors val="0"/>
        <c:ser>
          <c:idx val="0"/>
          <c:order val="0"/>
          <c:tx>
            <c:strRef>
              <c:f>'Sales By Festival'!$B$3</c:f>
              <c:strCache>
                <c:ptCount val="1"/>
                <c:pt idx="0">
                  <c:v>Total</c:v>
                </c:pt>
              </c:strCache>
            </c:strRef>
          </c:tx>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921A-41B5-AB5D-3CB3E3C517E6}"/>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3-921A-41B5-AB5D-3CB3E3C517E6}"/>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5-921A-41B5-AB5D-3CB3E3C517E6}"/>
              </c:ext>
            </c:extLst>
          </c:dPt>
          <c:dPt>
            <c:idx val="3"/>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07-921A-41B5-AB5D-3CB3E3C517E6}"/>
              </c:ext>
            </c:extLst>
          </c:dPt>
          <c:dPt>
            <c:idx val="4"/>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09-921A-41B5-AB5D-3CB3E3C517E6}"/>
              </c:ext>
            </c:extLst>
          </c:dPt>
          <c:dPt>
            <c:idx val="5"/>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B-921A-41B5-AB5D-3CB3E3C517E6}"/>
              </c:ext>
            </c:extLst>
          </c:dPt>
          <c:dPt>
            <c:idx val="6"/>
            <c:invertIfNegative val="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21A-41B5-AB5D-3CB3E3C517E6}"/>
              </c:ext>
            </c:extLst>
          </c:dPt>
          <c:dPt>
            <c:idx val="7"/>
            <c:invertIfNegative val="0"/>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21A-41B5-AB5D-3CB3E3C517E6}"/>
              </c:ext>
            </c:extLst>
          </c:dPt>
          <c:dPt>
            <c:idx val="8"/>
            <c:invertIfNegative val="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21A-41B5-AB5D-3CB3E3C517E6}"/>
              </c:ext>
            </c:extLst>
          </c:dPt>
          <c:dPt>
            <c:idx val="9"/>
            <c:invertIfNegative val="0"/>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21A-41B5-AB5D-3CB3E3C517E6}"/>
              </c:ext>
            </c:extLst>
          </c:dPt>
          <c:dPt>
            <c:idx val="10"/>
            <c:invertIfNegative val="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21A-41B5-AB5D-3CB3E3C517E6}"/>
              </c:ext>
            </c:extLst>
          </c:dPt>
          <c:dPt>
            <c:idx val="11"/>
            <c:invertIfNegative val="0"/>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21A-41B5-AB5D-3CB3E3C517E6}"/>
              </c:ext>
            </c:extLst>
          </c:dPt>
          <c:cat>
            <c:strRef>
              <c:f>'Sales By Festival'!$A$4:$A$16</c:f>
              <c:strCache>
                <c:ptCount val="12"/>
                <c:pt idx="0">
                  <c:v>Diwali</c:v>
                </c:pt>
                <c:pt idx="1">
                  <c:v>Dussehra</c:v>
                </c:pt>
                <c:pt idx="2">
                  <c:v>Ganesh Chaturthi</c:v>
                </c:pt>
                <c:pt idx="3">
                  <c:v>Holi</c:v>
                </c:pt>
                <c:pt idx="4">
                  <c:v>Independence Day Sale</c:v>
                </c:pt>
                <c:pt idx="5">
                  <c:v>Makar Sankranti</c:v>
                </c:pt>
                <c:pt idx="6">
                  <c:v>Navratri</c:v>
                </c:pt>
                <c:pt idx="7">
                  <c:v>New Year</c:v>
                </c:pt>
                <c:pt idx="8">
                  <c:v>Onam</c:v>
                </c:pt>
                <c:pt idx="9">
                  <c:v>Pongal</c:v>
                </c:pt>
                <c:pt idx="10">
                  <c:v>Republic Day Sale</c:v>
                </c:pt>
                <c:pt idx="11">
                  <c:v>Ugadi</c:v>
                </c:pt>
              </c:strCache>
            </c:strRef>
          </c:cat>
          <c:val>
            <c:numRef>
              <c:f>'Sales By Festival'!$B$4:$B$16</c:f>
              <c:numCache>
                <c:formatCode>\$#,##0</c:formatCode>
                <c:ptCount val="12"/>
                <c:pt idx="0">
                  <c:v>10374825.905999999</c:v>
                </c:pt>
                <c:pt idx="1">
                  <c:v>10165164.999000005</c:v>
                </c:pt>
                <c:pt idx="2">
                  <c:v>10651512.356000002</c:v>
                </c:pt>
                <c:pt idx="3">
                  <c:v>9934489.5230000019</c:v>
                </c:pt>
                <c:pt idx="4">
                  <c:v>9531893.2409999985</c:v>
                </c:pt>
                <c:pt idx="5">
                  <c:v>8906814.3179999962</c:v>
                </c:pt>
                <c:pt idx="6">
                  <c:v>8291132.4050000012</c:v>
                </c:pt>
                <c:pt idx="7">
                  <c:v>8936654.8469999973</c:v>
                </c:pt>
                <c:pt idx="8">
                  <c:v>8898658.0510000009</c:v>
                </c:pt>
                <c:pt idx="9">
                  <c:v>8122862.0210000006</c:v>
                </c:pt>
                <c:pt idx="10">
                  <c:v>9027555.7770000007</c:v>
                </c:pt>
                <c:pt idx="11">
                  <c:v>8821021.4089999963</c:v>
                </c:pt>
              </c:numCache>
            </c:numRef>
          </c:val>
          <c:extLst>
            <c:ext xmlns:c16="http://schemas.microsoft.com/office/drawing/2014/chart" uri="{C3380CC4-5D6E-409C-BE32-E72D297353CC}">
              <c16:uniqueId val="{00000018-921A-41B5-AB5D-3CB3E3C517E6}"/>
            </c:ext>
          </c:extLst>
        </c:ser>
        <c:dLbls>
          <c:showLegendKey val="0"/>
          <c:showVal val="0"/>
          <c:showCatName val="0"/>
          <c:showSerName val="0"/>
          <c:showPercent val="0"/>
          <c:showBubbleSize val="0"/>
        </c:dLbls>
        <c:gapWidth val="100"/>
        <c:axId val="77514191"/>
        <c:axId val="1737268127"/>
      </c:barChart>
      <c:valAx>
        <c:axId val="1737268127"/>
        <c:scaling>
          <c:orientation val="minMax"/>
        </c:scaling>
        <c:delete val="0"/>
        <c:axPos val="b"/>
        <c:majorGridlines/>
        <c:numFmt formatCode="\$#,##0" sourceLinked="1"/>
        <c:majorTickMark val="out"/>
        <c:minorTickMark val="none"/>
        <c:tickLblPos val="nextTo"/>
        <c:crossAx val="77514191"/>
        <c:crosses val="autoZero"/>
        <c:crossBetween val="between"/>
      </c:valAx>
      <c:catAx>
        <c:axId val="77514191"/>
        <c:scaling>
          <c:orientation val="minMax"/>
        </c:scaling>
        <c:delete val="0"/>
        <c:axPos val="l"/>
        <c:numFmt formatCode="General" sourceLinked="1"/>
        <c:majorTickMark val="out"/>
        <c:minorTickMark val="none"/>
        <c:tickLblPos val="nextTo"/>
        <c:crossAx val="1737268127"/>
        <c:crosses val="autoZero"/>
        <c:auto val="1"/>
        <c:lblAlgn val="ctr"/>
        <c:lblOffset val="100"/>
        <c:noMultiLvlLbl val="0"/>
      </c:catAx>
    </c:plotArea>
    <c:legend>
      <c:legendPos val="r"/>
      <c:layout>
        <c:manualLayout>
          <c:xMode val="edge"/>
          <c:yMode val="edge"/>
          <c:x val="0.73508366621737209"/>
          <c:y val="8.3684640796042237E-2"/>
          <c:w val="0.2151579715256661"/>
          <c:h val="0.71364493995018008"/>
        </c:manualLayout>
      </c:layout>
      <c:overlay val="0"/>
      <c:spPr>
        <a:solidFill>
          <a:schemeClr val="accent3"/>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2"/>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[bike_showroom_dashboard_enhanced.xlsx]Revenue By Branch!PivotTable2</c:name>
    <c:fmtId val="5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solidFill>
                  <a:sysClr val="windowText" lastClr="000000"/>
                </a:solidFill>
                <a:latin typeface="+mj-lt"/>
              </a:rPr>
              <a:t>Branch</a:t>
            </a:r>
            <a:r>
              <a:rPr lang="en-US" b="1" baseline="0">
                <a:solidFill>
                  <a:sysClr val="windowText" lastClr="000000"/>
                </a:solidFill>
                <a:latin typeface="+mj-lt"/>
              </a:rPr>
              <a:t> By Revenue</a:t>
            </a:r>
            <a:endParaRPr lang="en-US"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08333333333333"/>
          <c:y val="0.13633613033219333"/>
          <c:w val="0.85984251968503922"/>
          <c:h val="0.42589785651793516"/>
        </c:manualLayout>
      </c:layout>
      <c:bar3DChart>
        <c:barDir val="col"/>
        <c:grouping val="stacked"/>
        <c:varyColors val="0"/>
        <c:ser>
          <c:idx val="0"/>
          <c:order val="0"/>
          <c:tx>
            <c:strRef>
              <c:f>'Revenue By Branch'!$B$3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By Branch'!$A$4:$A$10</c:f>
              <c:strCache>
                <c:ptCount val="6"/>
                <c:pt idx="0">
                  <c:v>Andheri Branch</c:v>
                </c:pt>
                <c:pt idx="1">
                  <c:v>Dadar Branch</c:v>
                </c:pt>
                <c:pt idx="2">
                  <c:v>Nashik Road Branch</c:v>
                </c:pt>
                <c:pt idx="3">
                  <c:v>Pune Camp Branch</c:v>
                </c:pt>
                <c:pt idx="4">
                  <c:v>Thane Branch</c:v>
                </c:pt>
                <c:pt idx="5">
                  <c:v>Vashi Branch</c:v>
                </c:pt>
              </c:strCache>
            </c:strRef>
          </c:cat>
          <c:val>
            <c:numRef>
              <c:f>'Revenue By Branch'!$B$4:$B$10</c:f>
              <c:numCache>
                <c:formatCode>\$#,##0</c:formatCode>
                <c:ptCount val="6"/>
                <c:pt idx="0">
                  <c:v>17136479.271000002</c:v>
                </c:pt>
                <c:pt idx="1">
                  <c:v>18798845.580000013</c:v>
                </c:pt>
                <c:pt idx="2">
                  <c:v>17062033.543000005</c:v>
                </c:pt>
                <c:pt idx="3">
                  <c:v>16689625.776999993</c:v>
                </c:pt>
                <c:pt idx="4">
                  <c:v>20642735.432000004</c:v>
                </c:pt>
                <c:pt idx="5">
                  <c:v>21332865.25</c:v>
                </c:pt>
              </c:numCache>
            </c:numRef>
          </c:val>
          <c:extLst>
            <c:ext xmlns:c16="http://schemas.microsoft.com/office/drawing/2014/chart" uri="{C3380CC4-5D6E-409C-BE32-E72D297353CC}">
              <c16:uniqueId val="{00000000-7C69-41F0-899C-3EB4B114B619}"/>
            </c:ext>
          </c:extLst>
        </c:ser>
        <c:dLbls>
          <c:showLegendKey val="0"/>
          <c:showVal val="1"/>
          <c:showCatName val="0"/>
          <c:showSerName val="0"/>
          <c:showPercent val="0"/>
          <c:showBubbleSize val="0"/>
        </c:dLbls>
        <c:gapWidth val="79"/>
        <c:shape val="box"/>
        <c:axId val="1559816847"/>
        <c:axId val="1382533855"/>
        <c:axId val="0"/>
      </c:bar3DChart>
      <c:catAx>
        <c:axId val="1559816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latin typeface="+mj-lt"/>
                  </a:rPr>
                  <a:t>Branch</a:t>
                </a:r>
              </a:p>
            </c:rich>
          </c:tx>
          <c:layout>
            <c:manualLayout>
              <c:xMode val="edge"/>
              <c:yMode val="edge"/>
              <c:x val="0.44355205599300085"/>
              <c:y val="0.9169311222460828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82533855"/>
        <c:crosses val="autoZero"/>
        <c:auto val="1"/>
        <c:lblAlgn val="ctr"/>
        <c:lblOffset val="100"/>
        <c:noMultiLvlLbl val="0"/>
      </c:catAx>
      <c:valAx>
        <c:axId val="1382533855"/>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1">
                    <a:solidFill>
                      <a:sysClr val="windowText" lastClr="000000"/>
                    </a:solidFill>
                    <a:latin typeface="+mj-lt"/>
                  </a:rPr>
                  <a:t>Revenue</a:t>
                </a:r>
              </a:p>
            </c:rich>
          </c:tx>
          <c:layout>
            <c:manualLayout>
              <c:xMode val="edge"/>
              <c:yMode val="edge"/>
              <c:x val="0.10250196850393702"/>
              <c:y val="0.25494677748614758"/>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crossAx val="1559816847"/>
        <c:crosses val="autoZero"/>
        <c:crossBetween val="between"/>
      </c:valAx>
      <c:spPr>
        <a:noFill/>
        <a:ln>
          <a:noFill/>
        </a:ln>
        <a:effectLst/>
      </c:spPr>
    </c:plotArea>
    <c:legend>
      <c:legendPos val="r"/>
      <c:overlay val="0"/>
      <c:spPr>
        <a:solidFill>
          <a:schemeClr val="accent3"/>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[bike_showroom_dashboard_enhanced.xlsx]Total Buyers Bike Model!PivotTable21</c:name>
    <c:fmtId val="5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251791423292592"/>
          <c:y val="8.5910566115518769E-2"/>
          <c:w val="0.28366103090063466"/>
          <c:h val="0.76036433557106653"/>
        </c:manualLayout>
      </c:layout>
      <c:barChart>
        <c:barDir val="bar"/>
        <c:grouping val="stacked"/>
        <c:varyColors val="0"/>
        <c:ser>
          <c:idx val="0"/>
          <c:order val="0"/>
          <c:tx>
            <c:strRef>
              <c:f>'Total Buyers Bike Model'!$B$3</c:f>
              <c:strCache>
                <c:ptCount val="1"/>
                <c:pt idx="0">
                  <c:v>Sum of Cash</c:v>
                </c:pt>
              </c:strCache>
            </c:strRef>
          </c:tx>
          <c:spPr>
            <a:solidFill>
              <a:schemeClr val="accent1"/>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Model'!$B$4:$B$22</c:f>
              <c:numCache>
                <c:formatCode>General</c:formatCode>
                <c:ptCount val="18"/>
                <c:pt idx="0">
                  <c:v>5</c:v>
                </c:pt>
                <c:pt idx="1">
                  <c:v>12</c:v>
                </c:pt>
                <c:pt idx="2">
                  <c:v>9</c:v>
                </c:pt>
                <c:pt idx="3">
                  <c:v>5</c:v>
                </c:pt>
                <c:pt idx="4">
                  <c:v>12</c:v>
                </c:pt>
                <c:pt idx="5">
                  <c:v>6</c:v>
                </c:pt>
                <c:pt idx="6">
                  <c:v>10</c:v>
                </c:pt>
                <c:pt idx="7">
                  <c:v>10</c:v>
                </c:pt>
                <c:pt idx="8">
                  <c:v>9</c:v>
                </c:pt>
                <c:pt idx="9">
                  <c:v>7</c:v>
                </c:pt>
                <c:pt idx="10">
                  <c:v>9</c:v>
                </c:pt>
                <c:pt idx="11">
                  <c:v>13</c:v>
                </c:pt>
                <c:pt idx="12">
                  <c:v>4</c:v>
                </c:pt>
                <c:pt idx="13">
                  <c:v>10</c:v>
                </c:pt>
                <c:pt idx="14">
                  <c:v>9</c:v>
                </c:pt>
                <c:pt idx="15">
                  <c:v>12</c:v>
                </c:pt>
                <c:pt idx="16">
                  <c:v>5</c:v>
                </c:pt>
                <c:pt idx="17">
                  <c:v>8</c:v>
                </c:pt>
              </c:numCache>
            </c:numRef>
          </c:val>
          <c:extLst>
            <c:ext xmlns:c16="http://schemas.microsoft.com/office/drawing/2014/chart" uri="{C3380CC4-5D6E-409C-BE32-E72D297353CC}">
              <c16:uniqueId val="{00000000-9FF7-4241-8F4F-0ADE776B9416}"/>
            </c:ext>
          </c:extLst>
        </c:ser>
        <c:ser>
          <c:idx val="1"/>
          <c:order val="1"/>
          <c:tx>
            <c:strRef>
              <c:f>'Total Buyers Bike Model'!$C$3</c:f>
              <c:strCache>
                <c:ptCount val="1"/>
                <c:pt idx="0">
                  <c:v>Sum of Bank Loan</c:v>
                </c:pt>
              </c:strCache>
            </c:strRef>
          </c:tx>
          <c:spPr>
            <a:solidFill>
              <a:schemeClr val="accent2"/>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Model'!$C$4:$C$22</c:f>
              <c:numCache>
                <c:formatCode>General</c:formatCode>
                <c:ptCount val="18"/>
                <c:pt idx="0">
                  <c:v>7</c:v>
                </c:pt>
                <c:pt idx="1">
                  <c:v>13</c:v>
                </c:pt>
                <c:pt idx="2">
                  <c:v>11</c:v>
                </c:pt>
                <c:pt idx="3">
                  <c:v>4</c:v>
                </c:pt>
                <c:pt idx="4">
                  <c:v>9</c:v>
                </c:pt>
                <c:pt idx="5">
                  <c:v>8</c:v>
                </c:pt>
                <c:pt idx="6">
                  <c:v>5</c:v>
                </c:pt>
                <c:pt idx="7">
                  <c:v>9</c:v>
                </c:pt>
                <c:pt idx="8">
                  <c:v>10</c:v>
                </c:pt>
                <c:pt idx="9">
                  <c:v>3</c:v>
                </c:pt>
                <c:pt idx="10">
                  <c:v>11</c:v>
                </c:pt>
                <c:pt idx="11">
                  <c:v>7</c:v>
                </c:pt>
                <c:pt idx="12">
                  <c:v>5</c:v>
                </c:pt>
                <c:pt idx="13">
                  <c:v>11</c:v>
                </c:pt>
                <c:pt idx="14">
                  <c:v>16</c:v>
                </c:pt>
                <c:pt idx="15">
                  <c:v>8</c:v>
                </c:pt>
                <c:pt idx="16">
                  <c:v>7</c:v>
                </c:pt>
                <c:pt idx="17">
                  <c:v>12</c:v>
                </c:pt>
              </c:numCache>
            </c:numRef>
          </c:val>
          <c:extLst>
            <c:ext xmlns:c16="http://schemas.microsoft.com/office/drawing/2014/chart" uri="{C3380CC4-5D6E-409C-BE32-E72D297353CC}">
              <c16:uniqueId val="{00000001-9FF7-4241-8F4F-0ADE776B9416}"/>
            </c:ext>
          </c:extLst>
        </c:ser>
        <c:ser>
          <c:idx val="2"/>
          <c:order val="2"/>
          <c:tx>
            <c:strRef>
              <c:f>'Total Buyers Bike Model'!$D$3</c:f>
              <c:strCache>
                <c:ptCount val="1"/>
                <c:pt idx="0">
                  <c:v>Sum of EMI - HDFC</c:v>
                </c:pt>
              </c:strCache>
            </c:strRef>
          </c:tx>
          <c:spPr>
            <a:solidFill>
              <a:schemeClr val="accent3"/>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Model'!$D$4:$D$22</c:f>
              <c:numCache>
                <c:formatCode>General</c:formatCode>
                <c:ptCount val="18"/>
                <c:pt idx="0">
                  <c:v>5</c:v>
                </c:pt>
                <c:pt idx="1">
                  <c:v>16</c:v>
                </c:pt>
                <c:pt idx="2">
                  <c:v>16</c:v>
                </c:pt>
                <c:pt idx="3">
                  <c:v>6</c:v>
                </c:pt>
                <c:pt idx="4">
                  <c:v>6</c:v>
                </c:pt>
                <c:pt idx="5">
                  <c:v>6</c:v>
                </c:pt>
                <c:pt idx="6">
                  <c:v>7</c:v>
                </c:pt>
                <c:pt idx="7">
                  <c:v>6</c:v>
                </c:pt>
                <c:pt idx="8">
                  <c:v>10</c:v>
                </c:pt>
                <c:pt idx="9">
                  <c:v>8</c:v>
                </c:pt>
                <c:pt idx="10">
                  <c:v>6</c:v>
                </c:pt>
                <c:pt idx="11">
                  <c:v>7</c:v>
                </c:pt>
                <c:pt idx="12">
                  <c:v>7</c:v>
                </c:pt>
                <c:pt idx="13">
                  <c:v>6</c:v>
                </c:pt>
                <c:pt idx="14">
                  <c:v>10</c:v>
                </c:pt>
                <c:pt idx="15">
                  <c:v>6</c:v>
                </c:pt>
                <c:pt idx="16">
                  <c:v>6</c:v>
                </c:pt>
                <c:pt idx="17">
                  <c:v>9</c:v>
                </c:pt>
              </c:numCache>
            </c:numRef>
          </c:val>
          <c:extLst>
            <c:ext xmlns:c16="http://schemas.microsoft.com/office/drawing/2014/chart" uri="{C3380CC4-5D6E-409C-BE32-E72D297353CC}">
              <c16:uniqueId val="{00000002-9FF7-4241-8F4F-0ADE776B9416}"/>
            </c:ext>
          </c:extLst>
        </c:ser>
        <c:ser>
          <c:idx val="3"/>
          <c:order val="3"/>
          <c:tx>
            <c:strRef>
              <c:f>'Total Buyers Bike Model'!$E$3</c:f>
              <c:strCache>
                <c:ptCount val="1"/>
                <c:pt idx="0">
                  <c:v>Sum of EMI - Bajaj Finserv</c:v>
                </c:pt>
              </c:strCache>
            </c:strRef>
          </c:tx>
          <c:spPr>
            <a:solidFill>
              <a:schemeClr val="accent4"/>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Model'!$E$4:$E$22</c:f>
              <c:numCache>
                <c:formatCode>General</c:formatCode>
                <c:ptCount val="18"/>
                <c:pt idx="0">
                  <c:v>5</c:v>
                </c:pt>
                <c:pt idx="1">
                  <c:v>9</c:v>
                </c:pt>
                <c:pt idx="2">
                  <c:v>9</c:v>
                </c:pt>
                <c:pt idx="3">
                  <c:v>7</c:v>
                </c:pt>
                <c:pt idx="4">
                  <c:v>12</c:v>
                </c:pt>
                <c:pt idx="5">
                  <c:v>14</c:v>
                </c:pt>
                <c:pt idx="6">
                  <c:v>11</c:v>
                </c:pt>
                <c:pt idx="7">
                  <c:v>4</c:v>
                </c:pt>
                <c:pt idx="8">
                  <c:v>13</c:v>
                </c:pt>
                <c:pt idx="9">
                  <c:v>7</c:v>
                </c:pt>
                <c:pt idx="10">
                  <c:v>12</c:v>
                </c:pt>
                <c:pt idx="11">
                  <c:v>6</c:v>
                </c:pt>
                <c:pt idx="12">
                  <c:v>8</c:v>
                </c:pt>
                <c:pt idx="13">
                  <c:v>4</c:v>
                </c:pt>
                <c:pt idx="14">
                  <c:v>10</c:v>
                </c:pt>
                <c:pt idx="15">
                  <c:v>8</c:v>
                </c:pt>
                <c:pt idx="16">
                  <c:v>4</c:v>
                </c:pt>
                <c:pt idx="17">
                  <c:v>9</c:v>
                </c:pt>
              </c:numCache>
            </c:numRef>
          </c:val>
          <c:extLst>
            <c:ext xmlns:c16="http://schemas.microsoft.com/office/drawing/2014/chart" uri="{C3380CC4-5D6E-409C-BE32-E72D297353CC}">
              <c16:uniqueId val="{00000003-9FF7-4241-8F4F-0ADE776B9416}"/>
            </c:ext>
          </c:extLst>
        </c:ser>
        <c:ser>
          <c:idx val="4"/>
          <c:order val="4"/>
          <c:tx>
            <c:strRef>
              <c:f>'Total Buyers Bike Model'!$F$3</c:f>
              <c:strCache>
                <c:ptCount val="1"/>
                <c:pt idx="0">
                  <c:v>Sum of Credit Card</c:v>
                </c:pt>
              </c:strCache>
            </c:strRef>
          </c:tx>
          <c:spPr>
            <a:solidFill>
              <a:schemeClr val="accent5"/>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Model'!$F$4:$F$22</c:f>
              <c:numCache>
                <c:formatCode>General</c:formatCode>
                <c:ptCount val="18"/>
                <c:pt idx="0">
                  <c:v>9</c:v>
                </c:pt>
                <c:pt idx="1">
                  <c:v>5</c:v>
                </c:pt>
                <c:pt idx="2">
                  <c:v>8</c:v>
                </c:pt>
                <c:pt idx="3">
                  <c:v>6</c:v>
                </c:pt>
                <c:pt idx="4">
                  <c:v>7</c:v>
                </c:pt>
                <c:pt idx="5">
                  <c:v>13</c:v>
                </c:pt>
                <c:pt idx="6">
                  <c:v>8</c:v>
                </c:pt>
                <c:pt idx="7">
                  <c:v>4</c:v>
                </c:pt>
                <c:pt idx="8">
                  <c:v>8</c:v>
                </c:pt>
                <c:pt idx="9">
                  <c:v>4</c:v>
                </c:pt>
                <c:pt idx="10">
                  <c:v>3</c:v>
                </c:pt>
                <c:pt idx="11">
                  <c:v>9</c:v>
                </c:pt>
                <c:pt idx="12">
                  <c:v>2</c:v>
                </c:pt>
                <c:pt idx="13">
                  <c:v>2</c:v>
                </c:pt>
                <c:pt idx="14">
                  <c:v>12</c:v>
                </c:pt>
                <c:pt idx="15">
                  <c:v>4</c:v>
                </c:pt>
                <c:pt idx="16">
                  <c:v>9</c:v>
                </c:pt>
                <c:pt idx="17">
                  <c:v>12</c:v>
                </c:pt>
              </c:numCache>
            </c:numRef>
          </c:val>
          <c:extLst>
            <c:ext xmlns:c16="http://schemas.microsoft.com/office/drawing/2014/chart" uri="{C3380CC4-5D6E-409C-BE32-E72D297353CC}">
              <c16:uniqueId val="{00000004-9FF7-4241-8F4F-0ADE776B9416}"/>
            </c:ext>
          </c:extLst>
        </c:ser>
        <c:ser>
          <c:idx val="5"/>
          <c:order val="5"/>
          <c:tx>
            <c:strRef>
              <c:f>'Total Buyers Bike Model'!$G$3</c:f>
              <c:strCache>
                <c:ptCount val="1"/>
                <c:pt idx="0">
                  <c:v>Sum of UPI</c:v>
                </c:pt>
              </c:strCache>
            </c:strRef>
          </c:tx>
          <c:spPr>
            <a:solidFill>
              <a:schemeClr val="accent6"/>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Model'!$G$4:$G$22</c:f>
              <c:numCache>
                <c:formatCode>General</c:formatCode>
                <c:ptCount val="18"/>
                <c:pt idx="0">
                  <c:v>6</c:v>
                </c:pt>
                <c:pt idx="1">
                  <c:v>8</c:v>
                </c:pt>
                <c:pt idx="2">
                  <c:v>5</c:v>
                </c:pt>
                <c:pt idx="3">
                  <c:v>6</c:v>
                </c:pt>
                <c:pt idx="4">
                  <c:v>8</c:v>
                </c:pt>
                <c:pt idx="5">
                  <c:v>10</c:v>
                </c:pt>
                <c:pt idx="6">
                  <c:v>3</c:v>
                </c:pt>
                <c:pt idx="7">
                  <c:v>3</c:v>
                </c:pt>
                <c:pt idx="8">
                  <c:v>7</c:v>
                </c:pt>
                <c:pt idx="9">
                  <c:v>11</c:v>
                </c:pt>
                <c:pt idx="10">
                  <c:v>12</c:v>
                </c:pt>
                <c:pt idx="11">
                  <c:v>6</c:v>
                </c:pt>
                <c:pt idx="12">
                  <c:v>6</c:v>
                </c:pt>
                <c:pt idx="13">
                  <c:v>12</c:v>
                </c:pt>
                <c:pt idx="14">
                  <c:v>5</c:v>
                </c:pt>
                <c:pt idx="15">
                  <c:v>10</c:v>
                </c:pt>
                <c:pt idx="16">
                  <c:v>6</c:v>
                </c:pt>
                <c:pt idx="17">
                  <c:v>8</c:v>
                </c:pt>
              </c:numCache>
            </c:numRef>
          </c:val>
          <c:extLst>
            <c:ext xmlns:c16="http://schemas.microsoft.com/office/drawing/2014/chart" uri="{C3380CC4-5D6E-409C-BE32-E72D297353CC}">
              <c16:uniqueId val="{00000005-9FF7-4241-8F4F-0ADE776B9416}"/>
            </c:ext>
          </c:extLst>
        </c:ser>
        <c:ser>
          <c:idx val="6"/>
          <c:order val="6"/>
          <c:tx>
            <c:strRef>
              <c:f>'Total Buyers Bike Model'!$H$3</c:f>
              <c:strCache>
                <c:ptCount val="1"/>
                <c:pt idx="0">
                  <c:v>Sum of Cheque</c:v>
                </c:pt>
              </c:strCache>
            </c:strRef>
          </c:tx>
          <c:spPr>
            <a:solidFill>
              <a:schemeClr val="accent1">
                <a:lumMod val="60000"/>
              </a:schemeClr>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Model'!$H$4:$H$22</c:f>
              <c:numCache>
                <c:formatCode>General</c:formatCode>
                <c:ptCount val="18"/>
                <c:pt idx="0">
                  <c:v>2</c:v>
                </c:pt>
                <c:pt idx="1">
                  <c:v>7</c:v>
                </c:pt>
                <c:pt idx="2">
                  <c:v>9</c:v>
                </c:pt>
                <c:pt idx="3">
                  <c:v>6</c:v>
                </c:pt>
                <c:pt idx="4">
                  <c:v>4</c:v>
                </c:pt>
                <c:pt idx="5">
                  <c:v>7</c:v>
                </c:pt>
                <c:pt idx="6">
                  <c:v>10</c:v>
                </c:pt>
                <c:pt idx="7">
                  <c:v>9</c:v>
                </c:pt>
                <c:pt idx="8">
                  <c:v>11</c:v>
                </c:pt>
                <c:pt idx="9">
                  <c:v>12</c:v>
                </c:pt>
                <c:pt idx="10">
                  <c:v>8</c:v>
                </c:pt>
                <c:pt idx="11">
                  <c:v>4</c:v>
                </c:pt>
                <c:pt idx="12">
                  <c:v>5</c:v>
                </c:pt>
                <c:pt idx="13">
                  <c:v>13</c:v>
                </c:pt>
                <c:pt idx="14">
                  <c:v>9</c:v>
                </c:pt>
                <c:pt idx="15">
                  <c:v>7</c:v>
                </c:pt>
                <c:pt idx="16">
                  <c:v>9</c:v>
                </c:pt>
                <c:pt idx="17">
                  <c:v>5</c:v>
                </c:pt>
              </c:numCache>
            </c:numRef>
          </c:val>
          <c:extLst>
            <c:ext xmlns:c16="http://schemas.microsoft.com/office/drawing/2014/chart" uri="{C3380CC4-5D6E-409C-BE32-E72D297353CC}">
              <c16:uniqueId val="{00000006-9FF7-4241-8F4F-0ADE776B9416}"/>
            </c:ext>
          </c:extLst>
        </c:ser>
        <c:ser>
          <c:idx val="7"/>
          <c:order val="7"/>
          <c:tx>
            <c:strRef>
              <c:f>'Total Buyers Bike Model'!$I$3</c:f>
              <c:strCache>
                <c:ptCount val="1"/>
                <c:pt idx="0">
                  <c:v>Sum of Total Buyers</c:v>
                </c:pt>
              </c:strCache>
            </c:strRef>
          </c:tx>
          <c:spPr>
            <a:solidFill>
              <a:schemeClr val="accent2">
                <a:lumMod val="60000"/>
              </a:schemeClr>
            </a:solidFill>
            <a:ln>
              <a:noFill/>
            </a:ln>
            <a:effectLst/>
          </c:spPr>
          <c:invertIfNegative val="0"/>
          <c:cat>
            <c:strRef>
              <c:f>'Total Buyers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'Total Buyers Bike Model'!$I$4:$I$22</c:f>
              <c:numCache>
                <c:formatCode>General</c:formatCode>
                <c:ptCount val="18"/>
                <c:pt idx="0">
                  <c:v>39</c:v>
                </c:pt>
                <c:pt idx="1">
                  <c:v>70</c:v>
                </c:pt>
                <c:pt idx="2">
                  <c:v>67</c:v>
                </c:pt>
                <c:pt idx="3">
                  <c:v>40</c:v>
                </c:pt>
                <c:pt idx="4">
                  <c:v>58</c:v>
                </c:pt>
                <c:pt idx="5">
                  <c:v>64</c:v>
                </c:pt>
                <c:pt idx="6">
                  <c:v>54</c:v>
                </c:pt>
                <c:pt idx="7">
                  <c:v>45</c:v>
                </c:pt>
                <c:pt idx="8">
                  <c:v>68</c:v>
                </c:pt>
                <c:pt idx="9">
                  <c:v>52</c:v>
                </c:pt>
                <c:pt idx="10">
                  <c:v>61</c:v>
                </c:pt>
                <c:pt idx="11">
                  <c:v>52</c:v>
                </c:pt>
                <c:pt idx="12">
                  <c:v>37</c:v>
                </c:pt>
                <c:pt idx="13">
                  <c:v>58</c:v>
                </c:pt>
                <c:pt idx="14">
                  <c:v>71</c:v>
                </c:pt>
                <c:pt idx="15">
                  <c:v>55</c:v>
                </c:pt>
                <c:pt idx="16">
                  <c:v>46</c:v>
                </c:pt>
                <c:pt idx="17">
                  <c:v>63</c:v>
                </c:pt>
              </c:numCache>
            </c:numRef>
          </c:val>
          <c:extLst>
            <c:ext xmlns:c16="http://schemas.microsoft.com/office/drawing/2014/chart" uri="{C3380CC4-5D6E-409C-BE32-E72D297353CC}">
              <c16:uniqueId val="{00000007-9FF7-4241-8F4F-0ADE776B9416}"/>
            </c:ext>
          </c:extLst>
        </c:ser>
        <c:dLbls>
          <c:showLegendKey val="0"/>
          <c:showVal val="0"/>
          <c:showCatName val="0"/>
          <c:showSerName val="0"/>
          <c:showPercent val="0"/>
          <c:showBubbleSize val="0"/>
        </c:dLbls>
        <c:gapWidth val="150"/>
        <c:overlap val="100"/>
        <c:axId val="1559820095"/>
        <c:axId val="1319969919"/>
      </c:barChart>
      <c:catAx>
        <c:axId val="15598200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mj-lt"/>
                  </a:rPr>
                  <a:t>No.of Bikes</a:t>
                </a:r>
              </a:p>
            </c:rich>
          </c:tx>
          <c:layout>
            <c:manualLayout>
              <c:xMode val="edge"/>
              <c:yMode val="edge"/>
              <c:x val="7.6353212537798712E-2"/>
              <c:y val="0.2937552794202640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69919"/>
        <c:crosses val="autoZero"/>
        <c:auto val="1"/>
        <c:lblAlgn val="ctr"/>
        <c:lblOffset val="100"/>
        <c:noMultiLvlLbl val="0"/>
      </c:catAx>
      <c:valAx>
        <c:axId val="1319969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mj-lt"/>
                  </a:rPr>
                  <a:t>Biike</a:t>
                </a:r>
                <a:r>
                  <a:rPr lang="en-US" b="1" baseline="0">
                    <a:solidFill>
                      <a:sysClr val="windowText" lastClr="000000"/>
                    </a:solidFill>
                    <a:latin typeface="+mj-lt"/>
                  </a:rPr>
                  <a:t> Models</a:t>
                </a:r>
                <a:endParaRPr lang="en-US"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820095"/>
        <c:crosses val="autoZero"/>
        <c:crossBetween val="between"/>
      </c:valAx>
      <c:spPr>
        <a:noFill/>
        <a:ln>
          <a:noFill/>
        </a:ln>
        <a:effectLst/>
      </c:spPr>
    </c:plotArea>
    <c:legend>
      <c:legendPos val="r"/>
      <c:layout>
        <c:manualLayout>
          <c:xMode val="edge"/>
          <c:yMode val="edge"/>
          <c:x val="0.71600487011536984"/>
          <c:y val="0.16996828306180103"/>
          <c:w val="0.24472776343661945"/>
          <c:h val="0.47970403923644933"/>
        </c:manualLayout>
      </c:layout>
      <c:overlay val="0"/>
      <c:spPr>
        <a:solidFill>
          <a:schemeClr val="accent3"/>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[bike_showroom_dashboard_enhanced.xlsx]Sales Shear By Bike Category!PivotTable5</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mj-lt"/>
              </a:rPr>
              <a:t>Sales Shear By</a:t>
            </a:r>
            <a:r>
              <a:rPr lang="en-US" b="1" baseline="0">
                <a:solidFill>
                  <a:sysClr val="windowText" lastClr="000000"/>
                </a:solidFill>
                <a:latin typeface="+mj-lt"/>
              </a:rPr>
              <a:t> Bike Category</a:t>
            </a:r>
            <a:endParaRPr lang="en-US" b="1">
              <a:solidFill>
                <a:sysClr val="windowText" lastClr="000000"/>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solidFill>
            <a:schemeClr val="accent1"/>
          </a:solidFill>
          <a:ln w="28575" cap="rnd">
            <a:solidFill>
              <a:schemeClr val="accent1"/>
            </a:solidFill>
            <a:round/>
          </a:ln>
          <a:effectLst/>
        </c:spPr>
        <c:marker>
          <c:symbol val="none"/>
        </c:marker>
      </c:pivotFmt>
      <c:pivotFmt>
        <c:idx val="36"/>
        <c:spPr>
          <a:solidFill>
            <a:schemeClr val="accent1"/>
          </a:solidFill>
          <a:ln w="28575" cap="rnd">
            <a:solidFill>
              <a:schemeClr val="accent1"/>
            </a:solidFill>
            <a:round/>
          </a:ln>
          <a:effectLst/>
        </c:spPr>
        <c:marker>
          <c:symbol val="none"/>
        </c:marker>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pivotFmt>
      <c:pivotFmt>
        <c:idx val="39"/>
        <c:spPr>
          <a:solidFill>
            <a:schemeClr val="accent1"/>
          </a:solidFill>
          <a:ln w="28575" cap="rnd">
            <a:solidFill>
              <a:schemeClr val="accent1"/>
            </a:solidFill>
            <a:round/>
          </a:ln>
          <a:effectLst/>
        </c:spPr>
        <c:marker>
          <c:symbol val="none"/>
        </c:marker>
      </c:pivotFmt>
      <c:pivotFmt>
        <c:idx val="40"/>
        <c:spPr>
          <a:solidFill>
            <a:schemeClr val="accent1"/>
          </a:solidFill>
          <a:ln w="28575" cap="rnd">
            <a:solidFill>
              <a:schemeClr val="accent1"/>
            </a:solidFill>
            <a:round/>
          </a:ln>
          <a:effectLst/>
        </c:spPr>
        <c:marker>
          <c:symbol val="none"/>
        </c:marker>
      </c:pivotFmt>
      <c:pivotFmt>
        <c:idx val="41"/>
        <c:spPr>
          <a:solidFill>
            <a:schemeClr val="accent1"/>
          </a:solidFill>
          <a:ln w="28575" cap="rnd">
            <a:solidFill>
              <a:schemeClr val="accent1"/>
            </a:solidFill>
            <a:round/>
          </a:ln>
          <a:effectLst/>
        </c:spPr>
        <c:marker>
          <c:symbol val="none"/>
        </c:marker>
      </c:pivotFmt>
      <c:pivotFmt>
        <c:idx val="42"/>
        <c:spPr>
          <a:solidFill>
            <a:schemeClr val="accent1"/>
          </a:solidFill>
          <a:ln w="28575" cap="rnd">
            <a:solidFill>
              <a:schemeClr val="accent1"/>
            </a:solidFill>
            <a:round/>
          </a:ln>
          <a:effectLst/>
        </c:spPr>
        <c:marker>
          <c:symbol val="none"/>
        </c:marker>
      </c:pivotFmt>
      <c:pivotFmt>
        <c:idx val="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pivotFmt>
      <c:pivotFmt>
        <c:idx val="45"/>
        <c:spPr>
          <a:ln w="28575" cap="rnd">
            <a:solidFill>
              <a:schemeClr val="accent1"/>
            </a:solidFill>
            <a:round/>
          </a:ln>
          <a:effectLst/>
        </c:spPr>
        <c:marker>
          <c:symbol val="none"/>
        </c:marker>
      </c:pivotFmt>
      <c:pivotFmt>
        <c:idx val="46"/>
        <c:spPr>
          <a:ln w="28575" cap="rnd">
            <a:solidFill>
              <a:schemeClr val="accent1"/>
            </a:solidFill>
            <a:round/>
          </a:ln>
          <a:effectLst/>
        </c:spPr>
        <c:marker>
          <c:symbol val="none"/>
        </c:marker>
      </c:pivotFmt>
      <c:pivotFmt>
        <c:idx val="47"/>
        <c:spPr>
          <a:ln w="28575" cap="rnd">
            <a:solidFill>
              <a:schemeClr val="accent1"/>
            </a:solidFill>
            <a:round/>
          </a:ln>
          <a:effectLst/>
        </c:spPr>
        <c:marker>
          <c:symbol val="none"/>
        </c:marker>
      </c:pivotFmt>
      <c:pivotFmt>
        <c:idx val="48"/>
        <c:spPr>
          <a:ln w="28575" cap="rnd">
            <a:solidFill>
              <a:schemeClr val="accent1"/>
            </a:solidFill>
            <a:round/>
          </a:ln>
          <a:effectLst/>
        </c:spPr>
        <c:marker>
          <c:symbol val="none"/>
        </c:marker>
      </c:pivotFmt>
    </c:pivotFmts>
    <c:plotArea>
      <c:layout/>
      <c:lineChart>
        <c:grouping val="standard"/>
        <c:varyColors val="0"/>
        <c:ser>
          <c:idx val="0"/>
          <c:order val="0"/>
          <c:tx>
            <c:strRef>
              <c:f>'Sales Shear By Bike Category'!$B$3</c:f>
              <c:strCache>
                <c:ptCount val="1"/>
                <c:pt idx="0">
                  <c:v>Total</c:v>
                </c:pt>
              </c:strCache>
            </c:strRef>
          </c:tx>
          <c:spPr>
            <a:ln w="28575" cap="rnd">
              <a:solidFill>
                <a:schemeClr val="accent1"/>
              </a:solidFill>
              <a:round/>
            </a:ln>
            <a:effectLst/>
          </c:spPr>
          <c:marker>
            <c:symbol val="none"/>
          </c:marker>
          <c:dPt>
            <c:idx val="0"/>
            <c:marker>
              <c:symbol val="none"/>
            </c:marker>
            <c:bubble3D val="0"/>
            <c:explosion val="10"/>
            <c:spPr>
              <a:ln w="28575" cap="rnd">
                <a:solidFill>
                  <a:schemeClr val="accent1"/>
                </a:solidFill>
                <a:round/>
              </a:ln>
              <a:effectLst/>
            </c:spPr>
            <c:extLst>
              <c:ext xmlns:c16="http://schemas.microsoft.com/office/drawing/2014/chart" uri="{C3380CC4-5D6E-409C-BE32-E72D297353CC}">
                <c16:uniqueId val="{00000001-6D86-4885-94CB-3B3C7E2A6B8F}"/>
              </c:ext>
            </c:extLst>
          </c:dPt>
          <c:dPt>
            <c:idx val="1"/>
            <c:marker>
              <c:symbol val="none"/>
            </c:marker>
            <c:bubble3D val="0"/>
            <c:explosion val="10"/>
            <c:spPr>
              <a:ln w="28575" cap="rnd">
                <a:solidFill>
                  <a:schemeClr val="accent1"/>
                </a:solidFill>
                <a:round/>
              </a:ln>
              <a:effectLst/>
            </c:spPr>
            <c:extLst>
              <c:ext xmlns:c16="http://schemas.microsoft.com/office/drawing/2014/chart" uri="{C3380CC4-5D6E-409C-BE32-E72D297353CC}">
                <c16:uniqueId val="{00000003-6D86-4885-94CB-3B3C7E2A6B8F}"/>
              </c:ext>
            </c:extLst>
          </c:dPt>
          <c:dPt>
            <c:idx val="2"/>
            <c:marker>
              <c:symbol val="none"/>
            </c:marker>
            <c:bubble3D val="0"/>
            <c:explosion val="10"/>
            <c:spPr>
              <a:ln w="28575" cap="rnd">
                <a:solidFill>
                  <a:schemeClr val="accent1"/>
                </a:solidFill>
                <a:round/>
              </a:ln>
              <a:effectLst/>
            </c:spPr>
            <c:extLst>
              <c:ext xmlns:c16="http://schemas.microsoft.com/office/drawing/2014/chart" uri="{C3380CC4-5D6E-409C-BE32-E72D297353CC}">
                <c16:uniqueId val="{00000005-6D86-4885-94CB-3B3C7E2A6B8F}"/>
              </c:ext>
            </c:extLst>
          </c:dPt>
          <c:dPt>
            <c:idx val="3"/>
            <c:marker>
              <c:symbol val="none"/>
            </c:marker>
            <c:bubble3D val="0"/>
            <c:explosion val="10"/>
            <c:spPr>
              <a:ln w="28575" cap="rnd">
                <a:solidFill>
                  <a:schemeClr val="accent1"/>
                </a:solidFill>
                <a:round/>
              </a:ln>
              <a:effectLst/>
            </c:spPr>
            <c:extLst>
              <c:ext xmlns:c16="http://schemas.microsoft.com/office/drawing/2014/chart" uri="{C3380CC4-5D6E-409C-BE32-E72D297353CC}">
                <c16:uniqueId val="{00000007-6D86-4885-94CB-3B3C7E2A6B8F}"/>
              </c:ext>
            </c:extLst>
          </c:dPt>
          <c:dPt>
            <c:idx val="4"/>
            <c:marker>
              <c:symbol val="none"/>
            </c:marker>
            <c:bubble3D val="0"/>
            <c:explosion val="10"/>
            <c:spPr>
              <a:ln w="28575" cap="rnd">
                <a:solidFill>
                  <a:schemeClr val="accent1"/>
                </a:solidFill>
                <a:round/>
              </a:ln>
              <a:effectLst/>
            </c:spPr>
            <c:extLst>
              <c:ext xmlns:c16="http://schemas.microsoft.com/office/drawing/2014/chart" uri="{C3380CC4-5D6E-409C-BE32-E72D297353CC}">
                <c16:uniqueId val="{00000009-6D86-4885-94CB-3B3C7E2A6B8F}"/>
              </c:ext>
            </c:extLst>
          </c:dPt>
          <c:cat>
            <c:strRef>
              <c:f>'Sales Shear By Bike Category'!$A$4:$A$9</c:f>
              <c:strCache>
                <c:ptCount val="5"/>
                <c:pt idx="0">
                  <c:v>Commuter</c:v>
                </c:pt>
                <c:pt idx="1">
                  <c:v>Sports</c:v>
                </c:pt>
                <c:pt idx="2">
                  <c:v>Cruiser</c:v>
                </c:pt>
                <c:pt idx="3">
                  <c:v>Scooter</c:v>
                </c:pt>
                <c:pt idx="4">
                  <c:v>Electric</c:v>
                </c:pt>
              </c:strCache>
            </c:strRef>
          </c:cat>
          <c:val>
            <c:numRef>
              <c:f>'Sales Shear By Bike Category'!$B$4:$B$9</c:f>
              <c:numCache>
                <c:formatCode>\$#,##0</c:formatCode>
                <c:ptCount val="5"/>
                <c:pt idx="0">
                  <c:v>21209422.399999991</c:v>
                </c:pt>
                <c:pt idx="1">
                  <c:v>47118407.599999994</c:v>
                </c:pt>
                <c:pt idx="2">
                  <c:v>18647014.599999998</c:v>
                </c:pt>
                <c:pt idx="3">
                  <c:v>12935567.5</c:v>
                </c:pt>
                <c:pt idx="4">
                  <c:v>11752172.753</c:v>
                </c:pt>
              </c:numCache>
            </c:numRef>
          </c:val>
          <c:smooth val="0"/>
          <c:extLst>
            <c:ext xmlns:c16="http://schemas.microsoft.com/office/drawing/2014/chart" uri="{C3380CC4-5D6E-409C-BE32-E72D297353CC}">
              <c16:uniqueId val="{0000000A-6D86-4885-94CB-3B3C7E2A6B8F}"/>
            </c:ext>
          </c:extLst>
        </c:ser>
        <c:dLbls>
          <c:showLegendKey val="0"/>
          <c:showVal val="0"/>
          <c:showCatName val="0"/>
          <c:showSerName val="0"/>
          <c:showPercent val="0"/>
          <c:showBubbleSize val="0"/>
        </c:dLbls>
        <c:smooth val="0"/>
        <c:axId val="39792799"/>
        <c:axId val="1737273407"/>
      </c:lineChart>
      <c:catAx>
        <c:axId val="39792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273407"/>
        <c:crosses val="autoZero"/>
        <c:auto val="1"/>
        <c:lblAlgn val="ctr"/>
        <c:lblOffset val="100"/>
        <c:noMultiLvlLbl val="0"/>
      </c:catAx>
      <c:valAx>
        <c:axId val="1737273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92799"/>
        <c:crosses val="autoZero"/>
        <c:crossBetween val="between"/>
      </c:valAx>
      <c:spPr>
        <a:noFill/>
        <a:ln>
          <a:noFill/>
        </a:ln>
        <a:effectLst/>
      </c:spPr>
    </c:plotArea>
    <c:legend>
      <c:legendPos val="r"/>
      <c:layout>
        <c:manualLayout>
          <c:xMode val="edge"/>
          <c:yMode val="edge"/>
          <c:x val="0.85471254280147946"/>
          <c:y val="0.1112559627328633"/>
          <c:w val="0.14366559366322865"/>
          <c:h val="0.37131597449170073"/>
        </c:manualLayout>
      </c:layout>
      <c:overlay val="0"/>
      <c:spPr>
        <a:solidFill>
          <a:schemeClr val="accent3"/>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[bike_showroom_dashboard_enhanced.xlsx]Revenue By Sales!PivotTable7</c:name>
    <c:fmtId val="4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Revenue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180314960629921"/>
          <c:y val="0.20772929425488482"/>
          <c:w val="0.77734492563429569"/>
          <c:h val="0.32010024788568098"/>
        </c:manualLayout>
      </c:layout>
      <c:bar3DChart>
        <c:barDir val="col"/>
        <c:grouping val="clustered"/>
        <c:varyColors val="0"/>
        <c:ser>
          <c:idx val="0"/>
          <c:order val="0"/>
          <c:tx>
            <c:strRef>
              <c:f>'Revenue By Sales'!$B$3</c:f>
              <c:strCache>
                <c:ptCount val="1"/>
                <c:pt idx="0">
                  <c:v>Total</c:v>
                </c:pt>
              </c:strCache>
            </c:strRef>
          </c:tx>
          <c:spPr>
            <a:solidFill>
              <a:schemeClr val="accent1"/>
            </a:solidFill>
            <a:ln>
              <a:noFill/>
            </a:ln>
            <a:effectLst/>
            <a:sp3d/>
          </c:spPr>
          <c:invertIfNegative val="0"/>
          <c:cat>
            <c:strRef>
              <c:f>'Revenue By Sales'!$A$4:$A$10</c:f>
              <c:strCache>
                <c:ptCount val="6"/>
                <c:pt idx="0">
                  <c:v>$100,000 - $125,000</c:v>
                </c:pt>
                <c:pt idx="1">
                  <c:v>$125,000 - $150,000</c:v>
                </c:pt>
                <c:pt idx="2">
                  <c:v>$150,000 - $200,000</c:v>
                </c:pt>
                <c:pt idx="3">
                  <c:v>$75,000 - $100,000</c:v>
                </c:pt>
                <c:pt idx="4">
                  <c:v>Above $200,000</c:v>
                </c:pt>
                <c:pt idx="5">
                  <c:v>Under $75,000</c:v>
                </c:pt>
              </c:strCache>
            </c:strRef>
          </c:cat>
          <c:val>
            <c:numRef>
              <c:f>'Revenue By Sales'!$B$4:$B$10</c:f>
              <c:numCache>
                <c:formatCode>General</c:formatCode>
                <c:ptCount val="6"/>
                <c:pt idx="0">
                  <c:v>260</c:v>
                </c:pt>
                <c:pt idx="1">
                  <c:v>139</c:v>
                </c:pt>
                <c:pt idx="2">
                  <c:v>171</c:v>
                </c:pt>
                <c:pt idx="3">
                  <c:v>195</c:v>
                </c:pt>
                <c:pt idx="4">
                  <c:v>0</c:v>
                </c:pt>
                <c:pt idx="5">
                  <c:v>235</c:v>
                </c:pt>
              </c:numCache>
            </c:numRef>
          </c:val>
          <c:extLst>
            <c:ext xmlns:c16="http://schemas.microsoft.com/office/drawing/2014/chart" uri="{C3380CC4-5D6E-409C-BE32-E72D297353CC}">
              <c16:uniqueId val="{00000000-0A73-4307-BAD7-28536C81D99C}"/>
            </c:ext>
          </c:extLst>
        </c:ser>
        <c:dLbls>
          <c:showLegendKey val="0"/>
          <c:showVal val="0"/>
          <c:showCatName val="0"/>
          <c:showSerName val="0"/>
          <c:showPercent val="0"/>
          <c:showBubbleSize val="0"/>
        </c:dLbls>
        <c:gapWidth val="150"/>
        <c:shape val="box"/>
        <c:axId val="1356844447"/>
        <c:axId val="1319955039"/>
        <c:axId val="0"/>
      </c:bar3DChart>
      <c:catAx>
        <c:axId val="1356844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solidFill>
                  </a:rPr>
                  <a:t>Revenue</a:t>
                </a:r>
              </a:p>
            </c:rich>
          </c:tx>
          <c:layout>
            <c:manualLayout>
              <c:xMode val="edge"/>
              <c:yMode val="edge"/>
              <c:x val="0.42167869641294836"/>
              <c:y val="0.882658209390492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955039"/>
        <c:crosses val="autoZero"/>
        <c:auto val="1"/>
        <c:lblAlgn val="ctr"/>
        <c:lblOffset val="100"/>
        <c:noMultiLvlLbl val="0"/>
      </c:catAx>
      <c:valAx>
        <c:axId val="13199550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mj-lt"/>
                  </a:rPr>
                  <a:t>Sales</a:t>
                </a:r>
              </a:p>
            </c:rich>
          </c:tx>
          <c:layout>
            <c:manualLayout>
              <c:xMode val="edge"/>
              <c:yMode val="edge"/>
              <c:x val="6.9389326334208218E-2"/>
              <c:y val="0.3472149314668999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844447"/>
        <c:crosses val="autoZero"/>
        <c:crossBetween val="between"/>
      </c:valAx>
      <c:spPr>
        <a:noFill/>
        <a:ln>
          <a:noFill/>
        </a:ln>
        <a:effectLst/>
      </c:spPr>
    </c:plotArea>
    <c:legend>
      <c:legendPos val="r"/>
      <c:overlay val="0"/>
      <c:spPr>
        <a:solidFill>
          <a:schemeClr val="accent3"/>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[bike_showroom_dashboard_enhanced.xlsx]Delivery By Sales!PivotTable4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mj-lt"/>
              </a:rPr>
              <a:t>Delivery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ap="rnd">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cap="rnd">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cap="rnd">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cap="rnd">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'Delivery By Sales'!$B$3</c:f>
              <c:strCache>
                <c:ptCount val="1"/>
                <c:pt idx="0">
                  <c:v>Total</c:v>
                </c:pt>
              </c:strCache>
            </c:strRef>
          </c:tx>
          <c:dPt>
            <c:idx val="0"/>
            <c:bubble3D val="0"/>
            <c:explosion val="20"/>
            <c:spPr>
              <a:solidFill>
                <a:schemeClr val="accent1"/>
              </a:solidFill>
              <a:ln w="19050" cap="rnd">
                <a:solidFill>
                  <a:schemeClr val="lt1"/>
                </a:solidFill>
              </a:ln>
              <a:effectLst/>
            </c:spPr>
            <c:extLst>
              <c:ext xmlns:c16="http://schemas.microsoft.com/office/drawing/2014/chart" uri="{C3380CC4-5D6E-409C-BE32-E72D297353CC}">
                <c16:uniqueId val="{00000001-B1B4-47EA-8348-66F0B40D9B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B4-47EA-8348-66F0B40D9B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B4-47EA-8348-66F0B40D9B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'Delivery By Sales'!$A$4:$A$7</c:f>
              <c:strCache>
                <c:ptCount val="3"/>
                <c:pt idx="0">
                  <c:v>Delivered</c:v>
                </c:pt>
                <c:pt idx="1">
                  <c:v>In Transit</c:v>
                </c:pt>
                <c:pt idx="2">
                  <c:v>Pending</c:v>
                </c:pt>
              </c:strCache>
            </c:strRef>
          </c:cat>
          <c:val>
            <c:numRef>
              <c:f>'Delivery By Sales'!$B$4:$B$7</c:f>
              <c:numCache>
                <c:formatCode>General</c:formatCode>
                <c:ptCount val="3"/>
                <c:pt idx="0">
                  <c:v>672</c:v>
                </c:pt>
                <c:pt idx="1">
                  <c:v>158</c:v>
                </c:pt>
                <c:pt idx="2">
                  <c:v>170</c:v>
                </c:pt>
              </c:numCache>
            </c:numRef>
          </c:val>
          <c:extLst>
            <c:ext xmlns:c16="http://schemas.microsoft.com/office/drawing/2014/chart" uri="{C3380CC4-5D6E-409C-BE32-E72D297353CC}">
              <c16:uniqueId val="{00000006-B1B4-47EA-8348-66F0B40D9B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923859654247942"/>
          <c:y val="0.16005211012193102"/>
          <c:w val="0.19791666666666666"/>
          <c:h val="0.30164297171186932"/>
        </c:manualLayout>
      </c:layout>
      <c:overlay val="0"/>
      <c:spPr>
        <a:solidFill>
          <a:schemeClr val="accent3"/>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[bike_showroom_dashboard_enhanced.xlsx]Sheet1!PivotTable1</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mj-lt"/>
              </a:rPr>
              <a:t>Festival Summry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pivotFmt>
      <c:pivotFmt>
        <c:idx val="47"/>
        <c:spPr>
          <a:solidFill>
            <a:schemeClr val="accent1"/>
          </a:solidFill>
          <a:ln w="28575" cap="rnd">
            <a:solidFill>
              <a:schemeClr val="accent1"/>
            </a:solidFill>
            <a:round/>
          </a:ln>
          <a:effectLst/>
        </c:spPr>
        <c:marker>
          <c:symbol val="none"/>
        </c:marker>
      </c:pivotFmt>
      <c:pivotFmt>
        <c:idx val="48"/>
        <c:spPr>
          <a:solidFill>
            <a:schemeClr val="accent1"/>
          </a:solidFill>
          <a:ln w="28575" cap="rnd">
            <a:solidFill>
              <a:schemeClr val="accent1"/>
            </a:solidFill>
            <a:round/>
          </a:ln>
          <a:effectLst/>
        </c:spPr>
        <c:marker>
          <c:symbol val="none"/>
        </c:marker>
      </c:pivotFmt>
      <c:pivotFmt>
        <c:idx val="49"/>
        <c:spPr>
          <a:solidFill>
            <a:schemeClr val="accent1"/>
          </a:solidFill>
          <a:ln w="28575" cap="rnd">
            <a:solidFill>
              <a:schemeClr val="accent1"/>
            </a:solidFill>
            <a:round/>
          </a:ln>
          <a:effectLst/>
        </c:spPr>
        <c:marker>
          <c:symbol val="none"/>
        </c:marker>
      </c:pivotFmt>
      <c:pivotFmt>
        <c:idx val="50"/>
        <c:spPr>
          <a:solidFill>
            <a:schemeClr val="accent1"/>
          </a:solidFill>
          <a:ln w="28575" cap="rnd">
            <a:solidFill>
              <a:schemeClr val="accent1"/>
            </a:solidFill>
            <a:round/>
          </a:ln>
          <a:effectLst/>
        </c:spPr>
        <c:marker>
          <c:symbol val="none"/>
        </c:marker>
      </c:pivotFmt>
      <c:pivotFmt>
        <c:idx val="51"/>
        <c:spPr>
          <a:solidFill>
            <a:schemeClr val="accent1"/>
          </a:solidFill>
          <a:ln w="28575" cap="rnd">
            <a:solidFill>
              <a:schemeClr val="accent1"/>
            </a:solidFill>
            <a:round/>
          </a:ln>
          <a:effectLst/>
        </c:spPr>
        <c:marker>
          <c:symbol val="none"/>
        </c:marker>
      </c:pivotFmt>
      <c:pivotFmt>
        <c:idx val="52"/>
        <c:spPr>
          <a:solidFill>
            <a:schemeClr val="accent1"/>
          </a:solidFill>
          <a:ln w="28575" cap="rnd">
            <a:solidFill>
              <a:schemeClr val="accent1"/>
            </a:solidFill>
            <a:round/>
          </a:ln>
          <a:effectLst/>
        </c:spPr>
        <c:marker>
          <c:symbol val="none"/>
        </c:marker>
      </c:pivotFmt>
      <c:pivotFmt>
        <c:idx val="53"/>
        <c:spPr>
          <a:solidFill>
            <a:schemeClr val="accent1"/>
          </a:solidFill>
          <a:ln w="28575" cap="rnd">
            <a:solidFill>
              <a:schemeClr val="accent1"/>
            </a:solidFill>
            <a:round/>
          </a:ln>
          <a:effectLst/>
        </c:spPr>
        <c:marker>
          <c:symbol val="none"/>
        </c:marker>
      </c:pivotFmt>
      <c:pivotFmt>
        <c:idx val="54"/>
        <c:spPr>
          <a:solidFill>
            <a:schemeClr val="accent1"/>
          </a:solidFill>
          <a:ln w="28575" cap="rnd">
            <a:solidFill>
              <a:schemeClr val="accent1"/>
            </a:solidFill>
            <a:round/>
          </a:ln>
          <a:effectLst/>
        </c:spPr>
        <c:marker>
          <c:symbol val="none"/>
        </c:marker>
      </c:pivotFmt>
      <c:pivotFmt>
        <c:idx val="55"/>
        <c:spPr>
          <a:solidFill>
            <a:schemeClr val="accent1"/>
          </a:solidFill>
          <a:ln w="28575" cap="rnd">
            <a:solidFill>
              <a:schemeClr val="accent1"/>
            </a:solidFill>
            <a:round/>
          </a:ln>
          <a:effectLst/>
        </c:spPr>
        <c:marker>
          <c:symbol val="none"/>
        </c:marker>
      </c:pivotFmt>
      <c:pivotFmt>
        <c:idx val="56"/>
        <c:spPr>
          <a:solidFill>
            <a:schemeClr val="accent1"/>
          </a:solidFill>
          <a:ln w="28575" cap="rnd">
            <a:solidFill>
              <a:schemeClr val="accent1"/>
            </a:solidFill>
            <a:round/>
          </a:ln>
          <a:effectLst/>
        </c:spPr>
        <c:marker>
          <c:symbol val="none"/>
        </c:marker>
      </c:pivotFmt>
      <c:pivotFmt>
        <c:idx val="57"/>
        <c:spPr>
          <a:solidFill>
            <a:schemeClr val="accent1"/>
          </a:solidFill>
          <a:ln w="28575" cap="rnd">
            <a:solidFill>
              <a:schemeClr val="accent1"/>
            </a:solidFill>
            <a:round/>
          </a:ln>
          <a:effectLst/>
        </c:spPr>
        <c:marker>
          <c:symbol val="none"/>
        </c:marker>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pivotFmt>
      <c:pivotFmt>
        <c:idx val="60"/>
        <c:spPr>
          <a:solidFill>
            <a:schemeClr val="accent1"/>
          </a:solidFill>
          <a:ln w="28575" cap="rnd">
            <a:solidFill>
              <a:schemeClr val="accent1"/>
            </a:solidFill>
            <a:round/>
          </a:ln>
          <a:effectLst/>
        </c:spPr>
        <c:marker>
          <c:symbol val="none"/>
        </c:marker>
      </c:pivotFmt>
      <c:pivotFmt>
        <c:idx val="61"/>
        <c:spPr>
          <a:solidFill>
            <a:schemeClr val="accent1"/>
          </a:solidFill>
          <a:ln w="28575" cap="rnd">
            <a:solidFill>
              <a:schemeClr val="accent1"/>
            </a:solidFill>
            <a:round/>
          </a:ln>
          <a:effectLst/>
        </c:spPr>
        <c:marker>
          <c:symbol val="none"/>
        </c:marker>
      </c:pivotFmt>
      <c:pivotFmt>
        <c:idx val="62"/>
        <c:spPr>
          <a:solidFill>
            <a:schemeClr val="accent1"/>
          </a:solidFill>
          <a:ln w="28575" cap="rnd">
            <a:solidFill>
              <a:schemeClr val="accent1"/>
            </a:solidFill>
            <a:round/>
          </a:ln>
          <a:effectLst/>
        </c:spPr>
        <c:marker>
          <c:symbol val="none"/>
        </c:marker>
      </c:pivotFmt>
      <c:pivotFmt>
        <c:idx val="63"/>
        <c:spPr>
          <a:solidFill>
            <a:schemeClr val="accent1"/>
          </a:solidFill>
          <a:ln w="28575" cap="rnd">
            <a:solidFill>
              <a:schemeClr val="accent1"/>
            </a:solidFill>
            <a:round/>
          </a:ln>
          <a:effectLst/>
        </c:spPr>
        <c:marker>
          <c:symbol val="none"/>
        </c:marker>
      </c:pivotFmt>
      <c:pivotFmt>
        <c:idx val="64"/>
        <c:spPr>
          <a:solidFill>
            <a:schemeClr val="accent1"/>
          </a:solidFill>
          <a:ln w="28575" cap="rnd">
            <a:solidFill>
              <a:schemeClr val="accent1"/>
            </a:solidFill>
            <a:round/>
          </a:ln>
          <a:effectLst/>
        </c:spPr>
        <c:marker>
          <c:symbol val="none"/>
        </c:marker>
      </c:pivotFmt>
      <c:pivotFmt>
        <c:idx val="65"/>
        <c:spPr>
          <a:solidFill>
            <a:schemeClr val="accent1"/>
          </a:solidFill>
          <a:ln w="28575" cap="rnd">
            <a:solidFill>
              <a:schemeClr val="accent1"/>
            </a:solidFill>
            <a:round/>
          </a:ln>
          <a:effectLst/>
        </c:spPr>
        <c:marker>
          <c:symbol val="none"/>
        </c:marker>
      </c:pivotFmt>
      <c:pivotFmt>
        <c:idx val="66"/>
        <c:spPr>
          <a:solidFill>
            <a:schemeClr val="accent1"/>
          </a:solidFill>
          <a:ln w="28575" cap="rnd">
            <a:solidFill>
              <a:schemeClr val="accent1"/>
            </a:solidFill>
            <a:round/>
          </a:ln>
          <a:effectLst/>
        </c:spPr>
        <c:marker>
          <c:symbol val="none"/>
        </c:marker>
      </c:pivotFmt>
      <c:pivotFmt>
        <c:idx val="67"/>
        <c:spPr>
          <a:solidFill>
            <a:schemeClr val="accent1"/>
          </a:solidFill>
          <a:ln w="28575" cap="rnd">
            <a:solidFill>
              <a:schemeClr val="accent1"/>
            </a:solidFill>
            <a:round/>
          </a:ln>
          <a:effectLst/>
        </c:spPr>
        <c:marker>
          <c:symbol val="none"/>
        </c:marker>
      </c:pivotFmt>
      <c:pivotFmt>
        <c:idx val="68"/>
        <c:spPr>
          <a:solidFill>
            <a:schemeClr val="accent1"/>
          </a:solidFill>
          <a:ln w="28575" cap="rnd">
            <a:solidFill>
              <a:schemeClr val="accent1"/>
            </a:solidFill>
            <a:round/>
          </a:ln>
          <a:effectLst/>
        </c:spPr>
        <c:marker>
          <c:symbol val="none"/>
        </c:marker>
      </c:pivotFmt>
      <c:pivotFmt>
        <c:idx val="69"/>
        <c:spPr>
          <a:solidFill>
            <a:schemeClr val="accent1"/>
          </a:solidFill>
          <a:ln w="28575" cap="rnd">
            <a:solidFill>
              <a:schemeClr val="accent1"/>
            </a:solidFill>
            <a:round/>
          </a:ln>
          <a:effectLst/>
        </c:spPr>
        <c:marker>
          <c:symbol val="none"/>
        </c:marker>
      </c:pivotFmt>
      <c:pivotFmt>
        <c:idx val="70"/>
        <c:spPr>
          <a:solidFill>
            <a:schemeClr val="accent1"/>
          </a:solidFill>
          <a:ln w="28575" cap="rnd">
            <a:solidFill>
              <a:schemeClr val="accent1"/>
            </a:solidFill>
            <a:round/>
          </a:ln>
          <a:effectLst/>
        </c:spPr>
        <c:marker>
          <c:symbol val="none"/>
        </c:marker>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pivotFmt>
      <c:pivotFmt>
        <c:idx val="73"/>
        <c:spPr>
          <a:solidFill>
            <a:schemeClr val="accent1"/>
          </a:solidFill>
          <a:ln w="28575" cap="rnd">
            <a:solidFill>
              <a:schemeClr val="accent1"/>
            </a:solidFill>
            <a:round/>
          </a:ln>
          <a:effectLst/>
        </c:spPr>
        <c:marker>
          <c:symbol val="none"/>
        </c:marker>
      </c:pivotFmt>
      <c:pivotFmt>
        <c:idx val="74"/>
        <c:spPr>
          <a:solidFill>
            <a:schemeClr val="accent1"/>
          </a:solidFill>
          <a:ln w="28575" cap="rnd">
            <a:solidFill>
              <a:schemeClr val="accent1"/>
            </a:solidFill>
            <a:round/>
          </a:ln>
          <a:effectLst/>
        </c:spPr>
        <c:marker>
          <c:symbol val="none"/>
        </c:marker>
      </c:pivotFmt>
      <c:pivotFmt>
        <c:idx val="75"/>
        <c:spPr>
          <a:solidFill>
            <a:schemeClr val="accent1"/>
          </a:solidFill>
          <a:ln w="28575" cap="rnd">
            <a:solidFill>
              <a:schemeClr val="accent1"/>
            </a:solidFill>
            <a:round/>
          </a:ln>
          <a:effectLst/>
        </c:spPr>
        <c:marker>
          <c:symbol val="none"/>
        </c:marker>
      </c:pivotFmt>
      <c:pivotFmt>
        <c:idx val="76"/>
        <c:spPr>
          <a:solidFill>
            <a:schemeClr val="accent1"/>
          </a:solidFill>
          <a:ln w="28575" cap="rnd">
            <a:solidFill>
              <a:schemeClr val="accent1"/>
            </a:solidFill>
            <a:round/>
          </a:ln>
          <a:effectLst/>
        </c:spPr>
        <c:marker>
          <c:symbol val="none"/>
        </c:marker>
      </c:pivotFmt>
      <c:pivotFmt>
        <c:idx val="77"/>
        <c:spPr>
          <a:solidFill>
            <a:schemeClr val="accent1"/>
          </a:solidFill>
          <a:ln w="28575" cap="rnd">
            <a:solidFill>
              <a:schemeClr val="accent1"/>
            </a:solidFill>
            <a:round/>
          </a:ln>
          <a:effectLst/>
        </c:spPr>
        <c:marker>
          <c:symbol val="none"/>
        </c:marker>
      </c:pivotFmt>
      <c:pivotFmt>
        <c:idx val="78"/>
        <c:spPr>
          <a:solidFill>
            <a:schemeClr val="accent1"/>
          </a:solidFill>
          <a:ln w="28575" cap="rnd">
            <a:solidFill>
              <a:schemeClr val="accent1"/>
            </a:solidFill>
            <a:round/>
          </a:ln>
          <a:effectLst/>
        </c:spPr>
        <c:marker>
          <c:symbol val="none"/>
        </c:marker>
      </c:pivotFmt>
      <c:pivotFmt>
        <c:idx val="79"/>
        <c:spPr>
          <a:solidFill>
            <a:schemeClr val="accent1"/>
          </a:solidFill>
          <a:ln w="28575" cap="rnd">
            <a:solidFill>
              <a:schemeClr val="accent1"/>
            </a:solidFill>
            <a:round/>
          </a:ln>
          <a:effectLst/>
        </c:spPr>
        <c:marker>
          <c:symbol val="none"/>
        </c:marker>
      </c:pivotFmt>
      <c:pivotFmt>
        <c:idx val="80"/>
        <c:spPr>
          <a:solidFill>
            <a:schemeClr val="accent1"/>
          </a:solidFill>
          <a:ln w="28575" cap="rnd">
            <a:solidFill>
              <a:schemeClr val="accent1"/>
            </a:solidFill>
            <a:round/>
          </a:ln>
          <a:effectLst/>
        </c:spPr>
        <c:marker>
          <c:symbol val="none"/>
        </c:marker>
      </c:pivotFmt>
      <c:pivotFmt>
        <c:idx val="81"/>
        <c:spPr>
          <a:solidFill>
            <a:schemeClr val="accent1"/>
          </a:solidFill>
          <a:ln w="28575" cap="rnd">
            <a:solidFill>
              <a:schemeClr val="accent1"/>
            </a:solidFill>
            <a:round/>
          </a:ln>
          <a:effectLst/>
        </c:spPr>
        <c:marker>
          <c:symbol val="none"/>
        </c:marker>
      </c:pivotFmt>
      <c:pivotFmt>
        <c:idx val="82"/>
        <c:spPr>
          <a:solidFill>
            <a:schemeClr val="accent1"/>
          </a:solidFill>
          <a:ln w="28575" cap="rnd">
            <a:solidFill>
              <a:schemeClr val="accent1"/>
            </a:solidFill>
            <a:round/>
          </a:ln>
          <a:effectLst/>
        </c:spPr>
        <c:marker>
          <c:symbol val="none"/>
        </c:marker>
      </c:pivotFmt>
      <c:pivotFmt>
        <c:idx val="83"/>
        <c:spPr>
          <a:solidFill>
            <a:schemeClr val="accent1"/>
          </a:solidFill>
          <a:ln w="28575" cap="rnd">
            <a:solidFill>
              <a:schemeClr val="accent1"/>
            </a:solidFill>
            <a:round/>
          </a:ln>
          <a:effectLst/>
        </c:spPr>
        <c:marker>
          <c:symbol val="none"/>
        </c:marker>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pivotFmt>
      <c:pivotFmt>
        <c:idx val="86"/>
        <c:spPr>
          <a:solidFill>
            <a:schemeClr val="accent1"/>
          </a:solidFill>
          <a:ln w="28575" cap="rnd">
            <a:solidFill>
              <a:schemeClr val="accent1"/>
            </a:solidFill>
            <a:round/>
          </a:ln>
          <a:effectLst/>
        </c:spPr>
        <c:marker>
          <c:symbol val="none"/>
        </c:marker>
      </c:pivotFmt>
      <c:pivotFmt>
        <c:idx val="87"/>
        <c:spPr>
          <a:solidFill>
            <a:schemeClr val="accent1"/>
          </a:solidFill>
          <a:ln w="28575" cap="rnd">
            <a:solidFill>
              <a:schemeClr val="accent1"/>
            </a:solidFill>
            <a:round/>
          </a:ln>
          <a:effectLst/>
        </c:spPr>
        <c:marker>
          <c:symbol val="none"/>
        </c:marker>
      </c:pivotFmt>
      <c:pivotFmt>
        <c:idx val="88"/>
        <c:spPr>
          <a:solidFill>
            <a:schemeClr val="accent1"/>
          </a:solidFill>
          <a:ln w="28575" cap="rnd">
            <a:solidFill>
              <a:schemeClr val="accent1"/>
            </a:solidFill>
            <a:round/>
          </a:ln>
          <a:effectLst/>
        </c:spPr>
        <c:marker>
          <c:symbol val="none"/>
        </c:marker>
      </c:pivotFmt>
      <c:pivotFmt>
        <c:idx val="89"/>
        <c:spPr>
          <a:solidFill>
            <a:schemeClr val="accent1"/>
          </a:solidFill>
          <a:ln w="28575" cap="rnd">
            <a:solidFill>
              <a:schemeClr val="accent1"/>
            </a:solidFill>
            <a:round/>
          </a:ln>
          <a:effectLst/>
        </c:spPr>
        <c:marker>
          <c:symbol val="none"/>
        </c:marker>
      </c:pivotFmt>
      <c:pivotFmt>
        <c:idx val="90"/>
        <c:spPr>
          <a:solidFill>
            <a:schemeClr val="accent1"/>
          </a:solidFill>
          <a:ln w="28575" cap="rnd">
            <a:solidFill>
              <a:schemeClr val="accent1"/>
            </a:solidFill>
            <a:round/>
          </a:ln>
          <a:effectLst/>
        </c:spPr>
        <c:marker>
          <c:symbol val="none"/>
        </c:marker>
      </c:pivotFmt>
      <c:pivotFmt>
        <c:idx val="91"/>
        <c:spPr>
          <a:solidFill>
            <a:schemeClr val="accent1"/>
          </a:solidFill>
          <a:ln w="28575" cap="rnd">
            <a:solidFill>
              <a:schemeClr val="accent1"/>
            </a:solidFill>
            <a:round/>
          </a:ln>
          <a:effectLst/>
        </c:spPr>
        <c:marker>
          <c:symbol val="none"/>
        </c:marker>
      </c:pivotFmt>
      <c:pivotFmt>
        <c:idx val="92"/>
        <c:spPr>
          <a:solidFill>
            <a:schemeClr val="accent1"/>
          </a:solidFill>
          <a:ln w="28575" cap="rnd">
            <a:solidFill>
              <a:schemeClr val="accent1"/>
            </a:solidFill>
            <a:round/>
          </a:ln>
          <a:effectLst/>
        </c:spPr>
        <c:marker>
          <c:symbol val="none"/>
        </c:marker>
      </c:pivotFmt>
      <c:pivotFmt>
        <c:idx val="93"/>
        <c:spPr>
          <a:solidFill>
            <a:schemeClr val="accent1"/>
          </a:solidFill>
          <a:ln w="28575" cap="rnd">
            <a:solidFill>
              <a:schemeClr val="accent1"/>
            </a:solidFill>
            <a:round/>
          </a:ln>
          <a:effectLst/>
        </c:spPr>
        <c:marker>
          <c:symbol val="none"/>
        </c:marker>
      </c:pivotFmt>
      <c:pivotFmt>
        <c:idx val="94"/>
        <c:spPr>
          <a:solidFill>
            <a:schemeClr val="accent1"/>
          </a:solidFill>
          <a:ln w="28575" cap="rnd">
            <a:solidFill>
              <a:schemeClr val="accent1"/>
            </a:solidFill>
            <a:round/>
          </a:ln>
          <a:effectLst/>
        </c:spPr>
        <c:marker>
          <c:symbol val="none"/>
        </c:marker>
      </c:pivotFmt>
      <c:pivotFmt>
        <c:idx val="95"/>
        <c:spPr>
          <a:solidFill>
            <a:schemeClr val="accent1"/>
          </a:solidFill>
          <a:ln w="28575" cap="rnd">
            <a:solidFill>
              <a:schemeClr val="accent1"/>
            </a:solidFill>
            <a:round/>
          </a:ln>
          <a:effectLst/>
        </c:spPr>
        <c:marker>
          <c:symbol val="none"/>
        </c:marker>
      </c:pivotFmt>
      <c:pivotFmt>
        <c:idx val="96"/>
        <c:spPr>
          <a:solidFill>
            <a:schemeClr val="accent1"/>
          </a:solidFill>
          <a:ln w="28575" cap="rnd">
            <a:solidFill>
              <a:schemeClr val="accent1"/>
            </a:solidFill>
            <a:round/>
          </a:ln>
          <a:effectLst/>
        </c:spPr>
        <c:marker>
          <c:symbol val="none"/>
        </c:marker>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2"/>
            </a:solidFill>
            <a:round/>
          </a:ln>
          <a:effectLst/>
        </c:spPr>
        <c:marker>
          <c:symbol val="none"/>
        </c:marker>
      </c:pivotFmt>
      <c:pivotFmt>
        <c:idx val="99"/>
        <c:spPr>
          <a:solidFill>
            <a:schemeClr val="accent1"/>
          </a:solidFill>
          <a:ln w="28575" cap="rnd">
            <a:solidFill>
              <a:schemeClr val="accent2"/>
            </a:solidFill>
            <a:round/>
          </a:ln>
          <a:effectLst/>
        </c:spPr>
        <c:marker>
          <c:symbol val="none"/>
        </c:marker>
      </c:pivotFmt>
      <c:pivotFmt>
        <c:idx val="100"/>
        <c:spPr>
          <a:solidFill>
            <a:schemeClr val="accent1"/>
          </a:solidFill>
          <a:ln w="28575" cap="rnd">
            <a:solidFill>
              <a:schemeClr val="accent2"/>
            </a:solidFill>
            <a:round/>
          </a:ln>
          <a:effectLst/>
        </c:spPr>
        <c:marker>
          <c:symbol val="none"/>
        </c:marker>
      </c:pivotFmt>
      <c:pivotFmt>
        <c:idx val="101"/>
        <c:spPr>
          <a:solidFill>
            <a:schemeClr val="accent1"/>
          </a:solidFill>
          <a:ln w="28575" cap="rnd">
            <a:solidFill>
              <a:schemeClr val="accent2"/>
            </a:solidFill>
            <a:round/>
          </a:ln>
          <a:effectLst/>
        </c:spPr>
        <c:marker>
          <c:symbol val="none"/>
        </c:marker>
      </c:pivotFmt>
      <c:pivotFmt>
        <c:idx val="102"/>
        <c:spPr>
          <a:solidFill>
            <a:schemeClr val="accent1"/>
          </a:solidFill>
          <a:ln w="28575" cap="rnd">
            <a:solidFill>
              <a:schemeClr val="accent2"/>
            </a:solidFill>
            <a:round/>
          </a:ln>
          <a:effectLst/>
        </c:spPr>
        <c:marker>
          <c:symbol val="none"/>
        </c:marker>
      </c:pivotFmt>
      <c:pivotFmt>
        <c:idx val="103"/>
        <c:spPr>
          <a:solidFill>
            <a:schemeClr val="accent1"/>
          </a:solidFill>
          <a:ln w="28575" cap="rnd">
            <a:solidFill>
              <a:schemeClr val="accent2"/>
            </a:solidFill>
            <a:round/>
          </a:ln>
          <a:effectLst/>
        </c:spPr>
        <c:marker>
          <c:symbol val="none"/>
        </c:marker>
      </c:pivotFmt>
      <c:pivotFmt>
        <c:idx val="104"/>
        <c:spPr>
          <a:solidFill>
            <a:schemeClr val="accent1"/>
          </a:solidFill>
          <a:ln w="28575" cap="rnd">
            <a:solidFill>
              <a:schemeClr val="accent2"/>
            </a:solidFill>
            <a:round/>
          </a:ln>
          <a:effectLst/>
        </c:spPr>
        <c:marker>
          <c:symbol val="none"/>
        </c:marker>
      </c:pivotFmt>
      <c:pivotFmt>
        <c:idx val="105"/>
        <c:spPr>
          <a:solidFill>
            <a:schemeClr val="accent1"/>
          </a:solidFill>
          <a:ln w="28575" cap="rnd">
            <a:solidFill>
              <a:schemeClr val="accent2"/>
            </a:solidFill>
            <a:round/>
          </a:ln>
          <a:effectLst/>
        </c:spPr>
        <c:marker>
          <c:symbol val="none"/>
        </c:marker>
      </c:pivotFmt>
      <c:pivotFmt>
        <c:idx val="106"/>
        <c:spPr>
          <a:solidFill>
            <a:schemeClr val="accent1"/>
          </a:solidFill>
          <a:ln w="28575" cap="rnd">
            <a:solidFill>
              <a:schemeClr val="accent2"/>
            </a:solidFill>
            <a:round/>
          </a:ln>
          <a:effectLst/>
        </c:spPr>
        <c:marker>
          <c:symbol val="none"/>
        </c:marker>
      </c:pivotFmt>
      <c:pivotFmt>
        <c:idx val="107"/>
        <c:spPr>
          <a:solidFill>
            <a:schemeClr val="accent1"/>
          </a:solidFill>
          <a:ln w="28575" cap="rnd">
            <a:solidFill>
              <a:schemeClr val="accent2"/>
            </a:solidFill>
            <a:round/>
          </a:ln>
          <a:effectLst/>
        </c:spPr>
        <c:marker>
          <c:symbol val="none"/>
        </c:marker>
      </c:pivotFmt>
      <c:pivotFmt>
        <c:idx val="108"/>
        <c:spPr>
          <a:solidFill>
            <a:schemeClr val="accent1"/>
          </a:solidFill>
          <a:ln w="28575" cap="rnd">
            <a:solidFill>
              <a:schemeClr val="accent2"/>
            </a:solidFill>
            <a:round/>
          </a:ln>
          <a:effectLst/>
        </c:spPr>
        <c:marker>
          <c:symbol val="none"/>
        </c:marker>
      </c:pivotFmt>
      <c:pivotFmt>
        <c:idx val="109"/>
        <c:spPr>
          <a:solidFill>
            <a:schemeClr val="accent1"/>
          </a:solidFill>
          <a:ln w="28575" cap="rnd">
            <a:solidFill>
              <a:schemeClr val="accent2"/>
            </a:solidFill>
            <a:round/>
          </a:ln>
          <a:effectLst/>
        </c:spPr>
        <c:marker>
          <c:symbol val="none"/>
        </c:marker>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3"/>
            </a:solidFill>
            <a:round/>
          </a:ln>
          <a:effectLst/>
        </c:spPr>
        <c:marker>
          <c:symbol val="none"/>
        </c:marker>
      </c:pivotFmt>
      <c:pivotFmt>
        <c:idx val="112"/>
        <c:spPr>
          <a:solidFill>
            <a:schemeClr val="accent1"/>
          </a:solidFill>
          <a:ln w="28575" cap="rnd">
            <a:solidFill>
              <a:schemeClr val="accent3"/>
            </a:solidFill>
            <a:round/>
          </a:ln>
          <a:effectLst/>
        </c:spPr>
        <c:marker>
          <c:symbol val="none"/>
        </c:marker>
      </c:pivotFmt>
      <c:pivotFmt>
        <c:idx val="113"/>
        <c:spPr>
          <a:solidFill>
            <a:schemeClr val="accent1"/>
          </a:solidFill>
          <a:ln w="28575" cap="rnd">
            <a:solidFill>
              <a:schemeClr val="accent3"/>
            </a:solidFill>
            <a:round/>
          </a:ln>
          <a:effectLst/>
        </c:spPr>
        <c:marker>
          <c:symbol val="none"/>
        </c:marker>
      </c:pivotFmt>
      <c:pivotFmt>
        <c:idx val="114"/>
        <c:spPr>
          <a:solidFill>
            <a:schemeClr val="accent1"/>
          </a:solidFill>
          <a:ln w="28575" cap="rnd">
            <a:solidFill>
              <a:schemeClr val="accent3"/>
            </a:solidFill>
            <a:round/>
          </a:ln>
          <a:effectLst/>
        </c:spPr>
        <c:marker>
          <c:symbol val="none"/>
        </c:marker>
      </c:pivotFmt>
      <c:pivotFmt>
        <c:idx val="115"/>
        <c:spPr>
          <a:solidFill>
            <a:schemeClr val="accent1"/>
          </a:solidFill>
          <a:ln w="28575" cap="rnd">
            <a:solidFill>
              <a:schemeClr val="accent3"/>
            </a:solidFill>
            <a:round/>
          </a:ln>
          <a:effectLst/>
        </c:spPr>
        <c:marker>
          <c:symbol val="none"/>
        </c:marker>
      </c:pivotFmt>
      <c:pivotFmt>
        <c:idx val="116"/>
        <c:spPr>
          <a:solidFill>
            <a:schemeClr val="accent1"/>
          </a:solidFill>
          <a:ln w="28575" cap="rnd">
            <a:solidFill>
              <a:schemeClr val="accent3"/>
            </a:solidFill>
            <a:round/>
          </a:ln>
          <a:effectLst/>
        </c:spPr>
        <c:marker>
          <c:symbol val="none"/>
        </c:marker>
      </c:pivotFmt>
      <c:pivotFmt>
        <c:idx val="117"/>
        <c:spPr>
          <a:solidFill>
            <a:schemeClr val="accent1"/>
          </a:solidFill>
          <a:ln w="28575" cap="rnd">
            <a:solidFill>
              <a:schemeClr val="accent3"/>
            </a:solidFill>
            <a:round/>
          </a:ln>
          <a:effectLst/>
        </c:spPr>
        <c:marker>
          <c:symbol val="none"/>
        </c:marker>
      </c:pivotFmt>
      <c:pivotFmt>
        <c:idx val="118"/>
        <c:spPr>
          <a:solidFill>
            <a:schemeClr val="accent1"/>
          </a:solidFill>
          <a:ln w="28575" cap="rnd">
            <a:solidFill>
              <a:schemeClr val="accent3"/>
            </a:solidFill>
            <a:round/>
          </a:ln>
          <a:effectLst/>
        </c:spPr>
        <c:marker>
          <c:symbol val="none"/>
        </c:marker>
      </c:pivotFmt>
      <c:pivotFmt>
        <c:idx val="119"/>
        <c:spPr>
          <a:solidFill>
            <a:schemeClr val="accent1"/>
          </a:solidFill>
          <a:ln w="28575" cap="rnd">
            <a:solidFill>
              <a:schemeClr val="accent3"/>
            </a:solidFill>
            <a:round/>
          </a:ln>
          <a:effectLst/>
        </c:spPr>
        <c:marker>
          <c:symbol val="none"/>
        </c:marker>
      </c:pivotFmt>
      <c:pivotFmt>
        <c:idx val="120"/>
        <c:spPr>
          <a:solidFill>
            <a:schemeClr val="accent1"/>
          </a:solidFill>
          <a:ln w="28575" cap="rnd">
            <a:solidFill>
              <a:schemeClr val="accent3"/>
            </a:solidFill>
            <a:round/>
          </a:ln>
          <a:effectLst/>
        </c:spPr>
        <c:marker>
          <c:symbol val="none"/>
        </c:marker>
      </c:pivotFmt>
      <c:pivotFmt>
        <c:idx val="121"/>
        <c:spPr>
          <a:solidFill>
            <a:schemeClr val="accent1"/>
          </a:solidFill>
          <a:ln w="28575" cap="rnd">
            <a:solidFill>
              <a:schemeClr val="accent3"/>
            </a:solidFill>
            <a:round/>
          </a:ln>
          <a:effectLst/>
        </c:spPr>
        <c:marker>
          <c:symbol val="none"/>
        </c:marker>
      </c:pivotFmt>
      <c:pivotFmt>
        <c:idx val="122"/>
        <c:spPr>
          <a:solidFill>
            <a:schemeClr val="accent1"/>
          </a:solidFill>
          <a:ln w="28575" cap="rnd">
            <a:solidFill>
              <a:schemeClr val="accent3"/>
            </a:solidFill>
            <a:round/>
          </a:ln>
          <a:effectLst/>
        </c:spPr>
        <c:marker>
          <c:symbol val="none"/>
        </c:marker>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pivotFmt>
      <c:pivotFmt>
        <c:idx val="125"/>
        <c:spPr>
          <a:solidFill>
            <a:schemeClr val="accent1"/>
          </a:solidFill>
          <a:ln w="28575" cap="rnd">
            <a:solidFill>
              <a:schemeClr val="accent1"/>
            </a:solidFill>
            <a:round/>
          </a:ln>
          <a:effectLst/>
        </c:spPr>
        <c:marker>
          <c:symbol val="none"/>
        </c:marker>
      </c:pivotFmt>
      <c:pivotFmt>
        <c:idx val="126"/>
        <c:spPr>
          <a:solidFill>
            <a:schemeClr val="accent1"/>
          </a:solidFill>
          <a:ln w="28575" cap="rnd">
            <a:solidFill>
              <a:schemeClr val="accent1"/>
            </a:solidFill>
            <a:round/>
          </a:ln>
          <a:effectLst/>
        </c:spPr>
        <c:marker>
          <c:symbol val="none"/>
        </c:marker>
      </c:pivotFmt>
      <c:pivotFmt>
        <c:idx val="127"/>
        <c:spPr>
          <a:solidFill>
            <a:schemeClr val="accent1"/>
          </a:solidFill>
          <a:ln w="28575" cap="rnd">
            <a:solidFill>
              <a:schemeClr val="accent1"/>
            </a:solidFill>
            <a:round/>
          </a:ln>
          <a:effectLst/>
        </c:spPr>
        <c:marker>
          <c:symbol val="none"/>
        </c:marker>
      </c:pivotFmt>
      <c:pivotFmt>
        <c:idx val="128"/>
        <c:spPr>
          <a:solidFill>
            <a:schemeClr val="accent1"/>
          </a:solidFill>
          <a:ln w="28575" cap="rnd">
            <a:solidFill>
              <a:schemeClr val="accent1"/>
            </a:solidFill>
            <a:round/>
          </a:ln>
          <a:effectLst/>
        </c:spPr>
        <c:marker>
          <c:symbol val="none"/>
        </c:marker>
      </c:pivotFmt>
      <c:pivotFmt>
        <c:idx val="129"/>
        <c:spPr>
          <a:solidFill>
            <a:schemeClr val="accent1"/>
          </a:solidFill>
          <a:ln w="28575" cap="rnd">
            <a:solidFill>
              <a:schemeClr val="accent1"/>
            </a:solidFill>
            <a:round/>
          </a:ln>
          <a:effectLst/>
        </c:spPr>
        <c:marker>
          <c:symbol val="none"/>
        </c:marker>
      </c:pivotFmt>
      <c:pivotFmt>
        <c:idx val="130"/>
        <c:spPr>
          <a:solidFill>
            <a:schemeClr val="accent1"/>
          </a:solidFill>
          <a:ln w="28575" cap="rnd">
            <a:solidFill>
              <a:schemeClr val="accent1"/>
            </a:solidFill>
            <a:round/>
          </a:ln>
          <a:effectLst/>
        </c:spPr>
        <c:marker>
          <c:symbol val="none"/>
        </c:marker>
      </c:pivotFmt>
      <c:pivotFmt>
        <c:idx val="131"/>
        <c:spPr>
          <a:solidFill>
            <a:schemeClr val="accent1"/>
          </a:solidFill>
          <a:ln w="28575" cap="rnd">
            <a:solidFill>
              <a:schemeClr val="accent1"/>
            </a:solidFill>
            <a:round/>
          </a:ln>
          <a:effectLst/>
        </c:spPr>
        <c:marker>
          <c:symbol val="none"/>
        </c:marker>
      </c:pivotFmt>
      <c:pivotFmt>
        <c:idx val="132"/>
        <c:spPr>
          <a:solidFill>
            <a:schemeClr val="accent1"/>
          </a:solidFill>
          <a:ln w="28575" cap="rnd">
            <a:solidFill>
              <a:schemeClr val="accent1"/>
            </a:solidFill>
            <a:round/>
          </a:ln>
          <a:effectLst/>
        </c:spPr>
        <c:marker>
          <c:symbol val="none"/>
        </c:marker>
      </c:pivotFmt>
      <c:pivotFmt>
        <c:idx val="133"/>
        <c:spPr>
          <a:solidFill>
            <a:schemeClr val="accent1"/>
          </a:solidFill>
          <a:ln w="28575" cap="rnd">
            <a:solidFill>
              <a:schemeClr val="accent1"/>
            </a:solidFill>
            <a:round/>
          </a:ln>
          <a:effectLst/>
        </c:spPr>
        <c:marker>
          <c:symbol val="none"/>
        </c:marker>
      </c:pivotFmt>
      <c:pivotFmt>
        <c:idx val="134"/>
        <c:spPr>
          <a:solidFill>
            <a:schemeClr val="accent1"/>
          </a:solidFill>
          <a:ln w="28575" cap="rnd">
            <a:solidFill>
              <a:schemeClr val="accent1"/>
            </a:solidFill>
            <a:round/>
          </a:ln>
          <a:effectLst/>
        </c:spPr>
        <c:marker>
          <c:symbol val="none"/>
        </c:marker>
      </c:pivotFmt>
      <c:pivotFmt>
        <c:idx val="135"/>
        <c:spPr>
          <a:solidFill>
            <a:schemeClr val="accent1"/>
          </a:solidFill>
          <a:ln w="28575" cap="rnd">
            <a:solidFill>
              <a:schemeClr val="accent1"/>
            </a:solidFill>
            <a:round/>
          </a:ln>
          <a:effectLst/>
        </c:spPr>
        <c:marker>
          <c:symbol val="none"/>
        </c:marker>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2"/>
            </a:solidFill>
            <a:round/>
          </a:ln>
          <a:effectLst/>
        </c:spPr>
        <c:marker>
          <c:symbol val="none"/>
        </c:marker>
      </c:pivotFmt>
      <c:pivotFmt>
        <c:idx val="138"/>
        <c:spPr>
          <a:solidFill>
            <a:schemeClr val="accent1"/>
          </a:solidFill>
          <a:ln w="28575" cap="rnd">
            <a:solidFill>
              <a:schemeClr val="accent2"/>
            </a:solidFill>
            <a:round/>
          </a:ln>
          <a:effectLst/>
        </c:spPr>
        <c:marker>
          <c:symbol val="none"/>
        </c:marker>
      </c:pivotFmt>
      <c:pivotFmt>
        <c:idx val="139"/>
        <c:spPr>
          <a:solidFill>
            <a:schemeClr val="accent1"/>
          </a:solidFill>
          <a:ln w="28575" cap="rnd">
            <a:solidFill>
              <a:schemeClr val="accent2"/>
            </a:solidFill>
            <a:round/>
          </a:ln>
          <a:effectLst/>
        </c:spPr>
        <c:marker>
          <c:symbol val="none"/>
        </c:marker>
      </c:pivotFmt>
      <c:pivotFmt>
        <c:idx val="140"/>
        <c:spPr>
          <a:solidFill>
            <a:schemeClr val="accent1"/>
          </a:solidFill>
          <a:ln w="28575" cap="rnd">
            <a:solidFill>
              <a:schemeClr val="accent2"/>
            </a:solidFill>
            <a:round/>
          </a:ln>
          <a:effectLst/>
        </c:spPr>
        <c:marker>
          <c:symbol val="none"/>
        </c:marker>
      </c:pivotFmt>
      <c:pivotFmt>
        <c:idx val="141"/>
        <c:spPr>
          <a:solidFill>
            <a:schemeClr val="accent1"/>
          </a:solidFill>
          <a:ln w="28575" cap="rnd">
            <a:solidFill>
              <a:schemeClr val="accent2"/>
            </a:solidFill>
            <a:round/>
          </a:ln>
          <a:effectLst/>
        </c:spPr>
        <c:marker>
          <c:symbol val="none"/>
        </c:marker>
      </c:pivotFmt>
      <c:pivotFmt>
        <c:idx val="142"/>
        <c:spPr>
          <a:solidFill>
            <a:schemeClr val="accent1"/>
          </a:solidFill>
          <a:ln w="28575" cap="rnd">
            <a:solidFill>
              <a:schemeClr val="accent2"/>
            </a:solidFill>
            <a:round/>
          </a:ln>
          <a:effectLst/>
        </c:spPr>
        <c:marker>
          <c:symbol val="none"/>
        </c:marker>
      </c:pivotFmt>
      <c:pivotFmt>
        <c:idx val="143"/>
        <c:spPr>
          <a:solidFill>
            <a:schemeClr val="accent1"/>
          </a:solidFill>
          <a:ln w="28575" cap="rnd">
            <a:solidFill>
              <a:schemeClr val="accent2"/>
            </a:solidFill>
            <a:round/>
          </a:ln>
          <a:effectLst/>
        </c:spPr>
        <c:marker>
          <c:symbol val="none"/>
        </c:marker>
      </c:pivotFmt>
      <c:pivotFmt>
        <c:idx val="144"/>
        <c:spPr>
          <a:solidFill>
            <a:schemeClr val="accent1"/>
          </a:solidFill>
          <a:ln w="28575" cap="rnd">
            <a:solidFill>
              <a:schemeClr val="accent2"/>
            </a:solidFill>
            <a:round/>
          </a:ln>
          <a:effectLst/>
        </c:spPr>
        <c:marker>
          <c:symbol val="none"/>
        </c:marker>
      </c:pivotFmt>
      <c:pivotFmt>
        <c:idx val="145"/>
        <c:spPr>
          <a:solidFill>
            <a:schemeClr val="accent1"/>
          </a:solidFill>
          <a:ln w="28575" cap="rnd">
            <a:solidFill>
              <a:schemeClr val="accent2"/>
            </a:solidFill>
            <a:round/>
          </a:ln>
          <a:effectLst/>
        </c:spPr>
        <c:marker>
          <c:symbol val="none"/>
        </c:marker>
      </c:pivotFmt>
      <c:pivotFmt>
        <c:idx val="146"/>
        <c:spPr>
          <a:solidFill>
            <a:schemeClr val="accent1"/>
          </a:solidFill>
          <a:ln w="28575" cap="rnd">
            <a:solidFill>
              <a:schemeClr val="accent2"/>
            </a:solidFill>
            <a:round/>
          </a:ln>
          <a:effectLst/>
        </c:spPr>
        <c:marker>
          <c:symbol val="none"/>
        </c:marker>
      </c:pivotFmt>
      <c:pivotFmt>
        <c:idx val="147"/>
        <c:spPr>
          <a:solidFill>
            <a:schemeClr val="accent1"/>
          </a:solidFill>
          <a:ln w="28575" cap="rnd">
            <a:solidFill>
              <a:schemeClr val="accent2"/>
            </a:solidFill>
            <a:round/>
          </a:ln>
          <a:effectLst/>
        </c:spPr>
        <c:marker>
          <c:symbol val="none"/>
        </c:marker>
      </c:pivotFmt>
      <c:pivotFmt>
        <c:idx val="148"/>
        <c:spPr>
          <a:solidFill>
            <a:schemeClr val="accent1"/>
          </a:solidFill>
          <a:ln w="28575" cap="rnd">
            <a:solidFill>
              <a:schemeClr val="accent2"/>
            </a:solidFill>
            <a:round/>
          </a:ln>
          <a:effectLst/>
        </c:spPr>
        <c:marker>
          <c:symbol val="none"/>
        </c:marker>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3"/>
            </a:solidFill>
            <a:round/>
          </a:ln>
          <a:effectLst/>
        </c:spPr>
        <c:marker>
          <c:symbol val="none"/>
        </c:marker>
      </c:pivotFmt>
      <c:pivotFmt>
        <c:idx val="151"/>
        <c:spPr>
          <a:solidFill>
            <a:schemeClr val="accent1"/>
          </a:solidFill>
          <a:ln w="28575" cap="rnd">
            <a:solidFill>
              <a:schemeClr val="accent3"/>
            </a:solidFill>
            <a:round/>
          </a:ln>
          <a:effectLst/>
        </c:spPr>
        <c:marker>
          <c:symbol val="none"/>
        </c:marker>
      </c:pivotFmt>
      <c:pivotFmt>
        <c:idx val="152"/>
        <c:spPr>
          <a:solidFill>
            <a:schemeClr val="accent1"/>
          </a:solidFill>
          <a:ln w="28575" cap="rnd">
            <a:solidFill>
              <a:schemeClr val="accent3"/>
            </a:solidFill>
            <a:round/>
          </a:ln>
          <a:effectLst/>
        </c:spPr>
        <c:marker>
          <c:symbol val="none"/>
        </c:marker>
      </c:pivotFmt>
      <c:pivotFmt>
        <c:idx val="153"/>
        <c:spPr>
          <a:solidFill>
            <a:schemeClr val="accent1"/>
          </a:solidFill>
          <a:ln w="28575" cap="rnd">
            <a:solidFill>
              <a:schemeClr val="accent3"/>
            </a:solidFill>
            <a:round/>
          </a:ln>
          <a:effectLst/>
        </c:spPr>
        <c:marker>
          <c:symbol val="none"/>
        </c:marker>
      </c:pivotFmt>
      <c:pivotFmt>
        <c:idx val="154"/>
        <c:spPr>
          <a:solidFill>
            <a:schemeClr val="accent1"/>
          </a:solidFill>
          <a:ln w="28575" cap="rnd">
            <a:solidFill>
              <a:schemeClr val="accent3"/>
            </a:solidFill>
            <a:round/>
          </a:ln>
          <a:effectLst/>
        </c:spPr>
        <c:marker>
          <c:symbol val="none"/>
        </c:marker>
      </c:pivotFmt>
      <c:pivotFmt>
        <c:idx val="155"/>
        <c:spPr>
          <a:solidFill>
            <a:schemeClr val="accent1"/>
          </a:solidFill>
          <a:ln w="28575" cap="rnd">
            <a:solidFill>
              <a:schemeClr val="accent3"/>
            </a:solidFill>
            <a:round/>
          </a:ln>
          <a:effectLst/>
        </c:spPr>
        <c:marker>
          <c:symbol val="none"/>
        </c:marker>
      </c:pivotFmt>
      <c:pivotFmt>
        <c:idx val="156"/>
        <c:spPr>
          <a:solidFill>
            <a:schemeClr val="accent1"/>
          </a:solidFill>
          <a:ln w="28575" cap="rnd">
            <a:solidFill>
              <a:schemeClr val="accent3"/>
            </a:solidFill>
            <a:round/>
          </a:ln>
          <a:effectLst/>
        </c:spPr>
        <c:marker>
          <c:symbol val="none"/>
        </c:marker>
      </c:pivotFmt>
      <c:pivotFmt>
        <c:idx val="157"/>
        <c:spPr>
          <a:solidFill>
            <a:schemeClr val="accent1"/>
          </a:solidFill>
          <a:ln w="28575" cap="rnd">
            <a:solidFill>
              <a:schemeClr val="accent3"/>
            </a:solidFill>
            <a:round/>
          </a:ln>
          <a:effectLst/>
        </c:spPr>
        <c:marker>
          <c:symbol val="none"/>
        </c:marker>
      </c:pivotFmt>
      <c:pivotFmt>
        <c:idx val="158"/>
        <c:spPr>
          <a:solidFill>
            <a:schemeClr val="accent1"/>
          </a:solidFill>
          <a:ln w="28575" cap="rnd">
            <a:solidFill>
              <a:schemeClr val="accent3"/>
            </a:solidFill>
            <a:round/>
          </a:ln>
          <a:effectLst/>
        </c:spPr>
        <c:marker>
          <c:symbol val="none"/>
        </c:marker>
      </c:pivotFmt>
      <c:pivotFmt>
        <c:idx val="159"/>
        <c:spPr>
          <a:solidFill>
            <a:schemeClr val="accent1"/>
          </a:solidFill>
          <a:ln w="28575" cap="rnd">
            <a:solidFill>
              <a:schemeClr val="accent3"/>
            </a:solidFill>
            <a:round/>
          </a:ln>
          <a:effectLst/>
        </c:spPr>
        <c:marker>
          <c:symbol val="none"/>
        </c:marker>
      </c:pivotFmt>
      <c:pivotFmt>
        <c:idx val="160"/>
        <c:spPr>
          <a:solidFill>
            <a:schemeClr val="accent1"/>
          </a:solidFill>
          <a:ln w="28575" cap="rnd">
            <a:solidFill>
              <a:schemeClr val="accent3"/>
            </a:solidFill>
            <a:round/>
          </a:ln>
          <a:effectLst/>
        </c:spPr>
        <c:marker>
          <c:symbol val="none"/>
        </c:marker>
      </c:pivotFmt>
      <c:pivotFmt>
        <c:idx val="161"/>
        <c:spPr>
          <a:solidFill>
            <a:schemeClr val="accent1"/>
          </a:solidFill>
          <a:ln w="28575" cap="rnd">
            <a:solidFill>
              <a:schemeClr val="accent3"/>
            </a:solidFill>
            <a:round/>
          </a:ln>
          <a:effectLst/>
        </c:spPr>
        <c:marker>
          <c:symbol val="none"/>
        </c:marker>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pivotFmt>
      <c:pivotFmt>
        <c:idx val="164"/>
        <c:spPr>
          <a:solidFill>
            <a:schemeClr val="accent1"/>
          </a:solidFill>
          <a:ln w="28575" cap="rnd">
            <a:solidFill>
              <a:schemeClr val="accent1"/>
            </a:solidFill>
            <a:round/>
          </a:ln>
          <a:effectLst/>
        </c:spPr>
        <c:marker>
          <c:symbol val="none"/>
        </c:marker>
      </c:pivotFmt>
      <c:pivotFmt>
        <c:idx val="165"/>
        <c:spPr>
          <a:solidFill>
            <a:schemeClr val="accent1"/>
          </a:solidFill>
          <a:ln w="28575" cap="rnd">
            <a:solidFill>
              <a:schemeClr val="accent1"/>
            </a:solidFill>
            <a:round/>
          </a:ln>
          <a:effectLst/>
        </c:spPr>
        <c:marker>
          <c:symbol val="none"/>
        </c:marker>
      </c:pivotFmt>
      <c:pivotFmt>
        <c:idx val="166"/>
        <c:spPr>
          <a:solidFill>
            <a:schemeClr val="accent1"/>
          </a:solidFill>
          <a:ln w="28575" cap="rnd">
            <a:solidFill>
              <a:schemeClr val="accent1"/>
            </a:solidFill>
            <a:round/>
          </a:ln>
          <a:effectLst/>
        </c:spPr>
        <c:marker>
          <c:symbol val="none"/>
        </c:marker>
      </c:pivotFmt>
      <c:pivotFmt>
        <c:idx val="167"/>
        <c:spPr>
          <a:solidFill>
            <a:schemeClr val="accent1"/>
          </a:solidFill>
          <a:ln w="28575" cap="rnd">
            <a:solidFill>
              <a:schemeClr val="accent1"/>
            </a:solidFill>
            <a:round/>
          </a:ln>
          <a:effectLst/>
        </c:spPr>
        <c:marker>
          <c:symbol val="none"/>
        </c:marker>
      </c:pivotFmt>
      <c:pivotFmt>
        <c:idx val="168"/>
        <c:spPr>
          <a:solidFill>
            <a:schemeClr val="accent1"/>
          </a:solidFill>
          <a:ln w="28575" cap="rnd">
            <a:solidFill>
              <a:schemeClr val="accent1"/>
            </a:solidFill>
            <a:round/>
          </a:ln>
          <a:effectLst/>
        </c:spPr>
        <c:marker>
          <c:symbol val="none"/>
        </c:marker>
      </c:pivotFmt>
      <c:pivotFmt>
        <c:idx val="169"/>
        <c:spPr>
          <a:solidFill>
            <a:schemeClr val="accent1"/>
          </a:solidFill>
          <a:ln w="28575" cap="rnd">
            <a:solidFill>
              <a:schemeClr val="accent1"/>
            </a:solidFill>
            <a:round/>
          </a:ln>
          <a:effectLst/>
        </c:spPr>
        <c:marker>
          <c:symbol val="none"/>
        </c:marker>
      </c:pivotFmt>
      <c:pivotFmt>
        <c:idx val="170"/>
        <c:spPr>
          <a:solidFill>
            <a:schemeClr val="accent1"/>
          </a:solidFill>
          <a:ln w="28575" cap="rnd">
            <a:solidFill>
              <a:schemeClr val="accent1"/>
            </a:solidFill>
            <a:round/>
          </a:ln>
          <a:effectLst/>
        </c:spPr>
        <c:marker>
          <c:symbol val="none"/>
        </c:marker>
      </c:pivotFmt>
      <c:pivotFmt>
        <c:idx val="171"/>
        <c:spPr>
          <a:solidFill>
            <a:schemeClr val="accent1"/>
          </a:solidFill>
          <a:ln w="28575" cap="rnd">
            <a:solidFill>
              <a:schemeClr val="accent1"/>
            </a:solidFill>
            <a:round/>
          </a:ln>
          <a:effectLst/>
        </c:spPr>
        <c:marker>
          <c:symbol val="none"/>
        </c:marker>
      </c:pivotFmt>
      <c:pivotFmt>
        <c:idx val="172"/>
        <c:spPr>
          <a:solidFill>
            <a:schemeClr val="accent1"/>
          </a:solidFill>
          <a:ln w="28575" cap="rnd">
            <a:solidFill>
              <a:schemeClr val="accent1"/>
            </a:solidFill>
            <a:round/>
          </a:ln>
          <a:effectLst/>
        </c:spPr>
        <c:marker>
          <c:symbol val="none"/>
        </c:marker>
      </c:pivotFmt>
      <c:pivotFmt>
        <c:idx val="173"/>
        <c:spPr>
          <a:solidFill>
            <a:schemeClr val="accent1"/>
          </a:solidFill>
          <a:ln w="28575" cap="rnd">
            <a:solidFill>
              <a:schemeClr val="accent1"/>
            </a:solidFill>
            <a:round/>
          </a:ln>
          <a:effectLst/>
        </c:spPr>
        <c:marker>
          <c:symbol val="none"/>
        </c:marker>
      </c:pivotFmt>
      <c:pivotFmt>
        <c:idx val="174"/>
        <c:spPr>
          <a:solidFill>
            <a:schemeClr val="accent1"/>
          </a:solidFill>
          <a:ln w="28575" cap="rnd">
            <a:solidFill>
              <a:schemeClr val="accent1"/>
            </a:solidFill>
            <a:round/>
          </a:ln>
          <a:effectLst/>
        </c:spPr>
        <c:marker>
          <c:symbol val="none"/>
        </c:marker>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2"/>
            </a:solidFill>
            <a:round/>
          </a:ln>
          <a:effectLst/>
        </c:spPr>
        <c:marker>
          <c:symbol val="none"/>
        </c:marker>
      </c:pivotFmt>
      <c:pivotFmt>
        <c:idx val="177"/>
        <c:spPr>
          <a:solidFill>
            <a:schemeClr val="accent1"/>
          </a:solidFill>
          <a:ln w="28575" cap="rnd">
            <a:solidFill>
              <a:schemeClr val="accent2"/>
            </a:solidFill>
            <a:round/>
          </a:ln>
          <a:effectLst/>
        </c:spPr>
        <c:marker>
          <c:symbol val="none"/>
        </c:marker>
      </c:pivotFmt>
      <c:pivotFmt>
        <c:idx val="178"/>
        <c:spPr>
          <a:solidFill>
            <a:schemeClr val="accent1"/>
          </a:solidFill>
          <a:ln w="28575" cap="rnd">
            <a:solidFill>
              <a:schemeClr val="accent2"/>
            </a:solidFill>
            <a:round/>
          </a:ln>
          <a:effectLst/>
        </c:spPr>
        <c:marker>
          <c:symbol val="none"/>
        </c:marker>
      </c:pivotFmt>
      <c:pivotFmt>
        <c:idx val="179"/>
        <c:spPr>
          <a:solidFill>
            <a:schemeClr val="accent1"/>
          </a:solidFill>
          <a:ln w="28575" cap="rnd">
            <a:solidFill>
              <a:schemeClr val="accent2"/>
            </a:solidFill>
            <a:round/>
          </a:ln>
          <a:effectLst/>
        </c:spPr>
        <c:marker>
          <c:symbol val="none"/>
        </c:marker>
      </c:pivotFmt>
      <c:pivotFmt>
        <c:idx val="180"/>
        <c:spPr>
          <a:solidFill>
            <a:schemeClr val="accent1"/>
          </a:solidFill>
          <a:ln w="28575" cap="rnd">
            <a:solidFill>
              <a:schemeClr val="accent2"/>
            </a:solidFill>
            <a:round/>
          </a:ln>
          <a:effectLst/>
        </c:spPr>
        <c:marker>
          <c:symbol val="none"/>
        </c:marker>
      </c:pivotFmt>
      <c:pivotFmt>
        <c:idx val="181"/>
        <c:spPr>
          <a:solidFill>
            <a:schemeClr val="accent1"/>
          </a:solidFill>
          <a:ln w="28575" cap="rnd">
            <a:solidFill>
              <a:schemeClr val="accent2"/>
            </a:solidFill>
            <a:round/>
          </a:ln>
          <a:effectLst/>
        </c:spPr>
        <c:marker>
          <c:symbol val="none"/>
        </c:marker>
      </c:pivotFmt>
      <c:pivotFmt>
        <c:idx val="182"/>
        <c:spPr>
          <a:solidFill>
            <a:schemeClr val="accent1"/>
          </a:solidFill>
          <a:ln w="28575" cap="rnd">
            <a:solidFill>
              <a:schemeClr val="accent2"/>
            </a:solidFill>
            <a:round/>
          </a:ln>
          <a:effectLst/>
        </c:spPr>
        <c:marker>
          <c:symbol val="none"/>
        </c:marker>
      </c:pivotFmt>
      <c:pivotFmt>
        <c:idx val="183"/>
        <c:spPr>
          <a:solidFill>
            <a:schemeClr val="accent1"/>
          </a:solidFill>
          <a:ln w="28575" cap="rnd">
            <a:solidFill>
              <a:schemeClr val="accent2"/>
            </a:solidFill>
            <a:round/>
          </a:ln>
          <a:effectLst/>
        </c:spPr>
        <c:marker>
          <c:symbol val="none"/>
        </c:marker>
      </c:pivotFmt>
      <c:pivotFmt>
        <c:idx val="184"/>
        <c:spPr>
          <a:solidFill>
            <a:schemeClr val="accent1"/>
          </a:solidFill>
          <a:ln w="28575" cap="rnd">
            <a:solidFill>
              <a:schemeClr val="accent2"/>
            </a:solidFill>
            <a:round/>
          </a:ln>
          <a:effectLst/>
        </c:spPr>
        <c:marker>
          <c:symbol val="none"/>
        </c:marker>
      </c:pivotFmt>
      <c:pivotFmt>
        <c:idx val="185"/>
        <c:spPr>
          <a:solidFill>
            <a:schemeClr val="accent1"/>
          </a:solidFill>
          <a:ln w="28575" cap="rnd">
            <a:solidFill>
              <a:schemeClr val="accent2"/>
            </a:solidFill>
            <a:round/>
          </a:ln>
          <a:effectLst/>
        </c:spPr>
        <c:marker>
          <c:symbol val="none"/>
        </c:marker>
      </c:pivotFmt>
      <c:pivotFmt>
        <c:idx val="186"/>
        <c:spPr>
          <a:solidFill>
            <a:schemeClr val="accent1"/>
          </a:solidFill>
          <a:ln w="28575" cap="rnd">
            <a:solidFill>
              <a:schemeClr val="accent2"/>
            </a:solidFill>
            <a:round/>
          </a:ln>
          <a:effectLst/>
        </c:spPr>
        <c:marker>
          <c:symbol val="none"/>
        </c:marker>
      </c:pivotFmt>
      <c:pivotFmt>
        <c:idx val="187"/>
        <c:spPr>
          <a:solidFill>
            <a:schemeClr val="accent1"/>
          </a:solidFill>
          <a:ln w="28575" cap="rnd">
            <a:solidFill>
              <a:schemeClr val="accent2"/>
            </a:solidFill>
            <a:round/>
          </a:ln>
          <a:effectLst/>
        </c:spPr>
        <c:marker>
          <c:symbol val="none"/>
        </c:marker>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3"/>
            </a:solidFill>
            <a:round/>
          </a:ln>
          <a:effectLst/>
        </c:spPr>
        <c:marker>
          <c:symbol val="none"/>
        </c:marker>
      </c:pivotFmt>
      <c:pivotFmt>
        <c:idx val="190"/>
        <c:spPr>
          <a:solidFill>
            <a:schemeClr val="accent1"/>
          </a:solidFill>
          <a:ln w="28575" cap="rnd">
            <a:solidFill>
              <a:schemeClr val="accent3"/>
            </a:solidFill>
            <a:round/>
          </a:ln>
          <a:effectLst/>
        </c:spPr>
        <c:marker>
          <c:symbol val="none"/>
        </c:marker>
      </c:pivotFmt>
      <c:pivotFmt>
        <c:idx val="191"/>
        <c:spPr>
          <a:solidFill>
            <a:schemeClr val="accent1"/>
          </a:solidFill>
          <a:ln w="28575" cap="rnd">
            <a:solidFill>
              <a:schemeClr val="accent3"/>
            </a:solidFill>
            <a:round/>
          </a:ln>
          <a:effectLst/>
        </c:spPr>
        <c:marker>
          <c:symbol val="none"/>
        </c:marker>
      </c:pivotFmt>
      <c:pivotFmt>
        <c:idx val="192"/>
        <c:spPr>
          <a:solidFill>
            <a:schemeClr val="accent1"/>
          </a:solidFill>
          <a:ln w="28575" cap="rnd">
            <a:solidFill>
              <a:schemeClr val="accent3"/>
            </a:solidFill>
            <a:round/>
          </a:ln>
          <a:effectLst/>
        </c:spPr>
        <c:marker>
          <c:symbol val="none"/>
        </c:marker>
      </c:pivotFmt>
      <c:pivotFmt>
        <c:idx val="193"/>
        <c:spPr>
          <a:solidFill>
            <a:schemeClr val="accent1"/>
          </a:solidFill>
          <a:ln w="28575" cap="rnd">
            <a:solidFill>
              <a:schemeClr val="accent3"/>
            </a:solidFill>
            <a:round/>
          </a:ln>
          <a:effectLst/>
        </c:spPr>
        <c:marker>
          <c:symbol val="none"/>
        </c:marker>
      </c:pivotFmt>
      <c:pivotFmt>
        <c:idx val="194"/>
        <c:spPr>
          <a:solidFill>
            <a:schemeClr val="accent1"/>
          </a:solidFill>
          <a:ln w="28575" cap="rnd">
            <a:solidFill>
              <a:schemeClr val="accent3"/>
            </a:solidFill>
            <a:round/>
          </a:ln>
          <a:effectLst/>
        </c:spPr>
        <c:marker>
          <c:symbol val="none"/>
        </c:marker>
      </c:pivotFmt>
      <c:pivotFmt>
        <c:idx val="195"/>
        <c:spPr>
          <a:solidFill>
            <a:schemeClr val="accent1"/>
          </a:solidFill>
          <a:ln w="28575" cap="rnd">
            <a:solidFill>
              <a:schemeClr val="accent3"/>
            </a:solidFill>
            <a:round/>
          </a:ln>
          <a:effectLst/>
        </c:spPr>
        <c:marker>
          <c:symbol val="none"/>
        </c:marker>
      </c:pivotFmt>
      <c:pivotFmt>
        <c:idx val="196"/>
        <c:spPr>
          <a:solidFill>
            <a:schemeClr val="accent1"/>
          </a:solidFill>
          <a:ln w="28575" cap="rnd">
            <a:solidFill>
              <a:schemeClr val="accent3"/>
            </a:solidFill>
            <a:round/>
          </a:ln>
          <a:effectLst/>
        </c:spPr>
        <c:marker>
          <c:symbol val="none"/>
        </c:marker>
      </c:pivotFmt>
      <c:pivotFmt>
        <c:idx val="197"/>
        <c:spPr>
          <a:solidFill>
            <a:schemeClr val="accent1"/>
          </a:solidFill>
          <a:ln w="28575" cap="rnd">
            <a:solidFill>
              <a:schemeClr val="accent3"/>
            </a:solidFill>
            <a:round/>
          </a:ln>
          <a:effectLst/>
        </c:spPr>
        <c:marker>
          <c:symbol val="none"/>
        </c:marker>
      </c:pivotFmt>
      <c:pivotFmt>
        <c:idx val="198"/>
        <c:spPr>
          <a:solidFill>
            <a:schemeClr val="accent1"/>
          </a:solidFill>
          <a:ln w="28575" cap="rnd">
            <a:solidFill>
              <a:schemeClr val="accent3"/>
            </a:solidFill>
            <a:round/>
          </a:ln>
          <a:effectLst/>
        </c:spPr>
        <c:marker>
          <c:symbol val="none"/>
        </c:marker>
      </c:pivotFmt>
      <c:pivotFmt>
        <c:idx val="199"/>
        <c:spPr>
          <a:solidFill>
            <a:schemeClr val="accent1"/>
          </a:solidFill>
          <a:ln w="28575" cap="rnd">
            <a:solidFill>
              <a:schemeClr val="accent3"/>
            </a:solidFill>
            <a:round/>
          </a:ln>
          <a:effectLst/>
        </c:spPr>
        <c:marker>
          <c:symbol val="none"/>
        </c:marker>
      </c:pivotFmt>
      <c:pivotFmt>
        <c:idx val="200"/>
        <c:spPr>
          <a:solidFill>
            <a:schemeClr val="accent1"/>
          </a:solidFill>
          <a:ln w="28575" cap="rnd">
            <a:solidFill>
              <a:schemeClr val="accent3"/>
            </a:solidFill>
            <a:round/>
          </a:ln>
          <a:effectLst/>
        </c:spPr>
        <c:marker>
          <c:symbol val="none"/>
        </c:marker>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pivotFmt>
      <c:pivotFmt>
        <c:idx val="203"/>
        <c:spPr>
          <a:solidFill>
            <a:schemeClr val="accent1"/>
          </a:solidFill>
          <a:ln w="28575" cap="rnd">
            <a:solidFill>
              <a:schemeClr val="accent1"/>
            </a:solidFill>
            <a:round/>
          </a:ln>
          <a:effectLst/>
        </c:spPr>
        <c:marker>
          <c:symbol val="none"/>
        </c:marker>
      </c:pivotFmt>
      <c:pivotFmt>
        <c:idx val="204"/>
        <c:spPr>
          <a:solidFill>
            <a:schemeClr val="accent1"/>
          </a:solidFill>
          <a:ln w="28575" cap="rnd">
            <a:solidFill>
              <a:schemeClr val="accent1"/>
            </a:solidFill>
            <a:round/>
          </a:ln>
          <a:effectLst/>
        </c:spPr>
        <c:marker>
          <c:symbol val="none"/>
        </c:marker>
      </c:pivotFmt>
      <c:pivotFmt>
        <c:idx val="205"/>
        <c:spPr>
          <a:solidFill>
            <a:schemeClr val="accent1"/>
          </a:solidFill>
          <a:ln w="28575" cap="rnd">
            <a:solidFill>
              <a:schemeClr val="accent1"/>
            </a:solidFill>
            <a:round/>
          </a:ln>
          <a:effectLst/>
        </c:spPr>
        <c:marker>
          <c:symbol val="none"/>
        </c:marker>
      </c:pivotFmt>
      <c:pivotFmt>
        <c:idx val="206"/>
        <c:spPr>
          <a:solidFill>
            <a:schemeClr val="accent1"/>
          </a:solidFill>
          <a:ln w="28575" cap="rnd">
            <a:solidFill>
              <a:schemeClr val="accent1"/>
            </a:solidFill>
            <a:round/>
          </a:ln>
          <a:effectLst/>
        </c:spPr>
        <c:marker>
          <c:symbol val="none"/>
        </c:marker>
      </c:pivotFmt>
      <c:pivotFmt>
        <c:idx val="207"/>
        <c:spPr>
          <a:solidFill>
            <a:schemeClr val="accent1"/>
          </a:solidFill>
          <a:ln w="28575" cap="rnd">
            <a:solidFill>
              <a:schemeClr val="accent1"/>
            </a:solidFill>
            <a:round/>
          </a:ln>
          <a:effectLst/>
        </c:spPr>
        <c:marker>
          <c:symbol val="none"/>
        </c:marker>
      </c:pivotFmt>
      <c:pivotFmt>
        <c:idx val="208"/>
        <c:spPr>
          <a:solidFill>
            <a:schemeClr val="accent1"/>
          </a:solidFill>
          <a:ln w="28575" cap="rnd">
            <a:solidFill>
              <a:schemeClr val="accent1"/>
            </a:solidFill>
            <a:round/>
          </a:ln>
          <a:effectLst/>
        </c:spPr>
        <c:marker>
          <c:symbol val="none"/>
        </c:marker>
      </c:pivotFmt>
      <c:pivotFmt>
        <c:idx val="209"/>
        <c:spPr>
          <a:solidFill>
            <a:schemeClr val="accent1"/>
          </a:solidFill>
          <a:ln w="28575" cap="rnd">
            <a:solidFill>
              <a:schemeClr val="accent1"/>
            </a:solidFill>
            <a:round/>
          </a:ln>
          <a:effectLst/>
        </c:spPr>
        <c:marker>
          <c:symbol val="none"/>
        </c:marker>
      </c:pivotFmt>
      <c:pivotFmt>
        <c:idx val="210"/>
        <c:spPr>
          <a:solidFill>
            <a:schemeClr val="accent1"/>
          </a:solidFill>
          <a:ln w="28575" cap="rnd">
            <a:solidFill>
              <a:schemeClr val="accent1"/>
            </a:solidFill>
            <a:round/>
          </a:ln>
          <a:effectLst/>
        </c:spPr>
        <c:marker>
          <c:symbol val="none"/>
        </c:marker>
      </c:pivotFmt>
      <c:pivotFmt>
        <c:idx val="211"/>
        <c:spPr>
          <a:solidFill>
            <a:schemeClr val="accent1"/>
          </a:solidFill>
          <a:ln w="28575" cap="rnd">
            <a:solidFill>
              <a:schemeClr val="accent1"/>
            </a:solidFill>
            <a:round/>
          </a:ln>
          <a:effectLst/>
        </c:spPr>
        <c:marker>
          <c:symbol val="none"/>
        </c:marker>
      </c:pivotFmt>
      <c:pivotFmt>
        <c:idx val="212"/>
        <c:spPr>
          <a:solidFill>
            <a:schemeClr val="accent1"/>
          </a:solidFill>
          <a:ln w="28575" cap="rnd">
            <a:solidFill>
              <a:schemeClr val="accent1"/>
            </a:solidFill>
            <a:round/>
          </a:ln>
          <a:effectLst/>
        </c:spPr>
        <c:marker>
          <c:symbol val="none"/>
        </c:marker>
      </c:pivotFmt>
      <c:pivotFmt>
        <c:idx val="213"/>
        <c:spPr>
          <a:solidFill>
            <a:schemeClr val="accent1"/>
          </a:solidFill>
          <a:ln w="28575" cap="rnd">
            <a:solidFill>
              <a:schemeClr val="accent1"/>
            </a:solidFill>
            <a:round/>
          </a:ln>
          <a:effectLst/>
        </c:spPr>
        <c:marker>
          <c:symbol val="none"/>
        </c:marker>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2"/>
            </a:solidFill>
            <a:round/>
          </a:ln>
          <a:effectLst/>
        </c:spPr>
        <c:marker>
          <c:symbol val="none"/>
        </c:marker>
      </c:pivotFmt>
      <c:pivotFmt>
        <c:idx val="216"/>
        <c:spPr>
          <a:solidFill>
            <a:schemeClr val="accent1"/>
          </a:solidFill>
          <a:ln w="28575" cap="rnd">
            <a:solidFill>
              <a:schemeClr val="accent2"/>
            </a:solidFill>
            <a:round/>
          </a:ln>
          <a:effectLst/>
        </c:spPr>
        <c:marker>
          <c:symbol val="none"/>
        </c:marker>
      </c:pivotFmt>
      <c:pivotFmt>
        <c:idx val="217"/>
        <c:spPr>
          <a:solidFill>
            <a:schemeClr val="accent1"/>
          </a:solidFill>
          <a:ln w="28575" cap="rnd">
            <a:solidFill>
              <a:schemeClr val="accent2"/>
            </a:solidFill>
            <a:round/>
          </a:ln>
          <a:effectLst/>
        </c:spPr>
        <c:marker>
          <c:symbol val="none"/>
        </c:marker>
      </c:pivotFmt>
      <c:pivotFmt>
        <c:idx val="218"/>
        <c:spPr>
          <a:solidFill>
            <a:schemeClr val="accent1"/>
          </a:solidFill>
          <a:ln w="28575" cap="rnd">
            <a:solidFill>
              <a:schemeClr val="accent2"/>
            </a:solidFill>
            <a:round/>
          </a:ln>
          <a:effectLst/>
        </c:spPr>
        <c:marker>
          <c:symbol val="none"/>
        </c:marker>
      </c:pivotFmt>
      <c:pivotFmt>
        <c:idx val="219"/>
        <c:spPr>
          <a:solidFill>
            <a:schemeClr val="accent1"/>
          </a:solidFill>
          <a:ln w="28575" cap="rnd">
            <a:solidFill>
              <a:schemeClr val="accent2"/>
            </a:solidFill>
            <a:round/>
          </a:ln>
          <a:effectLst/>
        </c:spPr>
        <c:marker>
          <c:symbol val="none"/>
        </c:marker>
      </c:pivotFmt>
      <c:pivotFmt>
        <c:idx val="220"/>
        <c:spPr>
          <a:solidFill>
            <a:schemeClr val="accent1"/>
          </a:solidFill>
          <a:ln w="28575" cap="rnd">
            <a:solidFill>
              <a:schemeClr val="accent2"/>
            </a:solidFill>
            <a:round/>
          </a:ln>
          <a:effectLst/>
        </c:spPr>
        <c:marker>
          <c:symbol val="none"/>
        </c:marker>
      </c:pivotFmt>
      <c:pivotFmt>
        <c:idx val="221"/>
        <c:spPr>
          <a:solidFill>
            <a:schemeClr val="accent1"/>
          </a:solidFill>
          <a:ln w="28575" cap="rnd">
            <a:solidFill>
              <a:schemeClr val="accent2"/>
            </a:solidFill>
            <a:round/>
          </a:ln>
          <a:effectLst/>
        </c:spPr>
        <c:marker>
          <c:symbol val="none"/>
        </c:marker>
      </c:pivotFmt>
      <c:pivotFmt>
        <c:idx val="222"/>
        <c:spPr>
          <a:solidFill>
            <a:schemeClr val="accent1"/>
          </a:solidFill>
          <a:ln w="28575" cap="rnd">
            <a:solidFill>
              <a:schemeClr val="accent2"/>
            </a:solidFill>
            <a:round/>
          </a:ln>
          <a:effectLst/>
        </c:spPr>
        <c:marker>
          <c:symbol val="none"/>
        </c:marker>
      </c:pivotFmt>
      <c:pivotFmt>
        <c:idx val="223"/>
        <c:spPr>
          <a:solidFill>
            <a:schemeClr val="accent1"/>
          </a:solidFill>
          <a:ln w="28575" cap="rnd">
            <a:solidFill>
              <a:schemeClr val="accent2"/>
            </a:solidFill>
            <a:round/>
          </a:ln>
          <a:effectLst/>
        </c:spPr>
        <c:marker>
          <c:symbol val="none"/>
        </c:marker>
      </c:pivotFmt>
      <c:pivotFmt>
        <c:idx val="224"/>
        <c:spPr>
          <a:solidFill>
            <a:schemeClr val="accent1"/>
          </a:solidFill>
          <a:ln w="28575" cap="rnd">
            <a:solidFill>
              <a:schemeClr val="accent2"/>
            </a:solidFill>
            <a:round/>
          </a:ln>
          <a:effectLst/>
        </c:spPr>
        <c:marker>
          <c:symbol val="none"/>
        </c:marker>
      </c:pivotFmt>
      <c:pivotFmt>
        <c:idx val="225"/>
        <c:spPr>
          <a:solidFill>
            <a:schemeClr val="accent1"/>
          </a:solidFill>
          <a:ln w="28575" cap="rnd">
            <a:solidFill>
              <a:schemeClr val="accent2"/>
            </a:solidFill>
            <a:round/>
          </a:ln>
          <a:effectLst/>
        </c:spPr>
        <c:marker>
          <c:symbol val="none"/>
        </c:marker>
      </c:pivotFmt>
      <c:pivotFmt>
        <c:idx val="226"/>
        <c:spPr>
          <a:solidFill>
            <a:schemeClr val="accent1"/>
          </a:solidFill>
          <a:ln w="28575" cap="rnd">
            <a:solidFill>
              <a:schemeClr val="accent2"/>
            </a:solidFill>
            <a:round/>
          </a:ln>
          <a:effectLst/>
        </c:spPr>
        <c:marker>
          <c:symbol val="none"/>
        </c:marker>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3"/>
            </a:solidFill>
            <a:round/>
          </a:ln>
          <a:effectLst/>
        </c:spPr>
        <c:marker>
          <c:symbol val="none"/>
        </c:marker>
      </c:pivotFmt>
      <c:pivotFmt>
        <c:idx val="229"/>
        <c:spPr>
          <a:solidFill>
            <a:schemeClr val="accent1"/>
          </a:solidFill>
          <a:ln w="28575" cap="rnd">
            <a:solidFill>
              <a:schemeClr val="accent3"/>
            </a:solidFill>
            <a:round/>
          </a:ln>
          <a:effectLst/>
        </c:spPr>
        <c:marker>
          <c:symbol val="none"/>
        </c:marker>
      </c:pivotFmt>
      <c:pivotFmt>
        <c:idx val="230"/>
        <c:spPr>
          <a:solidFill>
            <a:schemeClr val="accent1"/>
          </a:solidFill>
          <a:ln w="28575" cap="rnd">
            <a:solidFill>
              <a:schemeClr val="accent3"/>
            </a:solidFill>
            <a:round/>
          </a:ln>
          <a:effectLst/>
        </c:spPr>
        <c:marker>
          <c:symbol val="none"/>
        </c:marker>
      </c:pivotFmt>
      <c:pivotFmt>
        <c:idx val="231"/>
        <c:spPr>
          <a:solidFill>
            <a:schemeClr val="accent1"/>
          </a:solidFill>
          <a:ln w="28575" cap="rnd">
            <a:solidFill>
              <a:schemeClr val="accent3"/>
            </a:solidFill>
            <a:round/>
          </a:ln>
          <a:effectLst/>
        </c:spPr>
        <c:marker>
          <c:symbol val="none"/>
        </c:marker>
      </c:pivotFmt>
      <c:pivotFmt>
        <c:idx val="232"/>
        <c:spPr>
          <a:solidFill>
            <a:schemeClr val="accent1"/>
          </a:solidFill>
          <a:ln w="28575" cap="rnd">
            <a:solidFill>
              <a:schemeClr val="accent3"/>
            </a:solidFill>
            <a:round/>
          </a:ln>
          <a:effectLst/>
        </c:spPr>
        <c:marker>
          <c:symbol val="none"/>
        </c:marker>
      </c:pivotFmt>
      <c:pivotFmt>
        <c:idx val="233"/>
        <c:spPr>
          <a:solidFill>
            <a:schemeClr val="accent1"/>
          </a:solidFill>
          <a:ln w="28575" cap="rnd">
            <a:solidFill>
              <a:schemeClr val="accent3"/>
            </a:solidFill>
            <a:round/>
          </a:ln>
          <a:effectLst/>
        </c:spPr>
        <c:marker>
          <c:symbol val="none"/>
        </c:marker>
      </c:pivotFmt>
      <c:pivotFmt>
        <c:idx val="234"/>
        <c:spPr>
          <a:solidFill>
            <a:schemeClr val="accent1"/>
          </a:solidFill>
          <a:ln w="28575" cap="rnd">
            <a:solidFill>
              <a:schemeClr val="accent3"/>
            </a:solidFill>
            <a:round/>
          </a:ln>
          <a:effectLst/>
        </c:spPr>
        <c:marker>
          <c:symbol val="none"/>
        </c:marker>
      </c:pivotFmt>
      <c:pivotFmt>
        <c:idx val="235"/>
        <c:spPr>
          <a:solidFill>
            <a:schemeClr val="accent1"/>
          </a:solidFill>
          <a:ln w="28575" cap="rnd">
            <a:solidFill>
              <a:schemeClr val="accent3"/>
            </a:solidFill>
            <a:round/>
          </a:ln>
          <a:effectLst/>
        </c:spPr>
        <c:marker>
          <c:symbol val="none"/>
        </c:marker>
      </c:pivotFmt>
      <c:pivotFmt>
        <c:idx val="236"/>
        <c:spPr>
          <a:solidFill>
            <a:schemeClr val="accent1"/>
          </a:solidFill>
          <a:ln w="28575" cap="rnd">
            <a:solidFill>
              <a:schemeClr val="accent3"/>
            </a:solidFill>
            <a:round/>
          </a:ln>
          <a:effectLst/>
        </c:spPr>
        <c:marker>
          <c:symbol val="none"/>
        </c:marker>
      </c:pivotFmt>
      <c:pivotFmt>
        <c:idx val="237"/>
        <c:spPr>
          <a:solidFill>
            <a:schemeClr val="accent1"/>
          </a:solidFill>
          <a:ln w="28575" cap="rnd">
            <a:solidFill>
              <a:schemeClr val="accent3"/>
            </a:solidFill>
            <a:round/>
          </a:ln>
          <a:effectLst/>
        </c:spPr>
        <c:marker>
          <c:symbol val="none"/>
        </c:marker>
      </c:pivotFmt>
      <c:pivotFmt>
        <c:idx val="238"/>
        <c:spPr>
          <a:solidFill>
            <a:schemeClr val="accent1"/>
          </a:solidFill>
          <a:ln w="28575" cap="rnd">
            <a:solidFill>
              <a:schemeClr val="accent3"/>
            </a:solidFill>
            <a:round/>
          </a:ln>
          <a:effectLst/>
        </c:spPr>
        <c:marker>
          <c:symbol val="none"/>
        </c:marker>
      </c:pivotFmt>
      <c:pivotFmt>
        <c:idx val="239"/>
        <c:spPr>
          <a:solidFill>
            <a:schemeClr val="accent1"/>
          </a:solidFill>
          <a:ln w="28575" cap="rnd">
            <a:solidFill>
              <a:schemeClr val="accent3"/>
            </a:solidFill>
            <a:round/>
          </a:ln>
          <a:effectLst/>
        </c:spPr>
        <c:marker>
          <c:symbol val="none"/>
        </c:marker>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pivotFmt>
      <c:pivotFmt>
        <c:idx val="242"/>
        <c:spPr>
          <a:solidFill>
            <a:schemeClr val="accent1"/>
          </a:solidFill>
          <a:ln w="28575" cap="rnd">
            <a:solidFill>
              <a:schemeClr val="accent1"/>
            </a:solidFill>
            <a:round/>
          </a:ln>
          <a:effectLst/>
        </c:spPr>
        <c:marker>
          <c:symbol val="none"/>
        </c:marker>
      </c:pivotFmt>
      <c:pivotFmt>
        <c:idx val="243"/>
        <c:spPr>
          <a:solidFill>
            <a:schemeClr val="accent1"/>
          </a:solidFill>
          <a:ln w="28575" cap="rnd">
            <a:solidFill>
              <a:schemeClr val="accent1"/>
            </a:solidFill>
            <a:round/>
          </a:ln>
          <a:effectLst/>
        </c:spPr>
        <c:marker>
          <c:symbol val="none"/>
        </c:marker>
      </c:pivotFmt>
      <c:pivotFmt>
        <c:idx val="244"/>
        <c:spPr>
          <a:solidFill>
            <a:schemeClr val="accent1"/>
          </a:solidFill>
          <a:ln w="28575" cap="rnd">
            <a:solidFill>
              <a:schemeClr val="accent1"/>
            </a:solidFill>
            <a:round/>
          </a:ln>
          <a:effectLst/>
        </c:spPr>
        <c:marker>
          <c:symbol val="none"/>
        </c:marker>
      </c:pivotFmt>
      <c:pivotFmt>
        <c:idx val="245"/>
        <c:spPr>
          <a:solidFill>
            <a:schemeClr val="accent1"/>
          </a:solidFill>
          <a:ln w="28575" cap="rnd">
            <a:solidFill>
              <a:schemeClr val="accent1"/>
            </a:solidFill>
            <a:round/>
          </a:ln>
          <a:effectLst/>
        </c:spPr>
        <c:marker>
          <c:symbol val="none"/>
        </c:marker>
      </c:pivotFmt>
      <c:pivotFmt>
        <c:idx val="246"/>
        <c:spPr>
          <a:solidFill>
            <a:schemeClr val="accent1"/>
          </a:solidFill>
          <a:ln w="28575" cap="rnd">
            <a:solidFill>
              <a:schemeClr val="accent1"/>
            </a:solidFill>
            <a:round/>
          </a:ln>
          <a:effectLst/>
        </c:spPr>
        <c:marker>
          <c:symbol val="none"/>
        </c:marker>
      </c:pivotFmt>
      <c:pivotFmt>
        <c:idx val="247"/>
        <c:spPr>
          <a:solidFill>
            <a:schemeClr val="accent1"/>
          </a:solidFill>
          <a:ln w="28575" cap="rnd">
            <a:solidFill>
              <a:schemeClr val="accent1"/>
            </a:solidFill>
            <a:round/>
          </a:ln>
          <a:effectLst/>
        </c:spPr>
        <c:marker>
          <c:symbol val="none"/>
        </c:marker>
      </c:pivotFmt>
      <c:pivotFmt>
        <c:idx val="248"/>
        <c:spPr>
          <a:solidFill>
            <a:schemeClr val="accent1"/>
          </a:solidFill>
          <a:ln w="28575" cap="rnd">
            <a:solidFill>
              <a:schemeClr val="accent1"/>
            </a:solidFill>
            <a:round/>
          </a:ln>
          <a:effectLst/>
        </c:spPr>
        <c:marker>
          <c:symbol val="none"/>
        </c:marker>
      </c:pivotFmt>
      <c:pivotFmt>
        <c:idx val="249"/>
        <c:spPr>
          <a:solidFill>
            <a:schemeClr val="accent1"/>
          </a:solidFill>
          <a:ln w="28575" cap="rnd">
            <a:solidFill>
              <a:schemeClr val="accent1"/>
            </a:solidFill>
            <a:round/>
          </a:ln>
          <a:effectLst/>
        </c:spPr>
        <c:marker>
          <c:symbol val="none"/>
        </c:marker>
      </c:pivotFmt>
      <c:pivotFmt>
        <c:idx val="250"/>
        <c:spPr>
          <a:solidFill>
            <a:schemeClr val="accent1"/>
          </a:solidFill>
          <a:ln w="28575" cap="rnd">
            <a:solidFill>
              <a:schemeClr val="accent1"/>
            </a:solidFill>
            <a:round/>
          </a:ln>
          <a:effectLst/>
        </c:spPr>
        <c:marker>
          <c:symbol val="none"/>
        </c:marker>
      </c:pivotFmt>
      <c:pivotFmt>
        <c:idx val="251"/>
        <c:spPr>
          <a:solidFill>
            <a:schemeClr val="accent1"/>
          </a:solidFill>
          <a:ln w="28575" cap="rnd">
            <a:solidFill>
              <a:schemeClr val="accent1"/>
            </a:solidFill>
            <a:round/>
          </a:ln>
          <a:effectLst/>
        </c:spPr>
        <c:marker>
          <c:symbol val="none"/>
        </c:marker>
      </c:pivotFmt>
      <c:pivotFmt>
        <c:idx val="252"/>
        <c:spPr>
          <a:solidFill>
            <a:schemeClr val="accent1"/>
          </a:solidFill>
          <a:ln w="28575" cap="rnd">
            <a:solidFill>
              <a:schemeClr val="accent1"/>
            </a:solidFill>
            <a:round/>
          </a:ln>
          <a:effectLst/>
        </c:spPr>
        <c:marker>
          <c:symbol val="none"/>
        </c:marker>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2"/>
            </a:solidFill>
            <a:round/>
          </a:ln>
          <a:effectLst/>
        </c:spPr>
        <c:marker>
          <c:symbol val="none"/>
        </c:marker>
      </c:pivotFmt>
      <c:pivotFmt>
        <c:idx val="255"/>
        <c:spPr>
          <a:solidFill>
            <a:schemeClr val="accent1"/>
          </a:solidFill>
          <a:ln w="28575" cap="rnd">
            <a:solidFill>
              <a:schemeClr val="accent2"/>
            </a:solidFill>
            <a:round/>
          </a:ln>
          <a:effectLst/>
        </c:spPr>
        <c:marker>
          <c:symbol val="none"/>
        </c:marker>
      </c:pivotFmt>
      <c:pivotFmt>
        <c:idx val="256"/>
        <c:spPr>
          <a:solidFill>
            <a:schemeClr val="accent1"/>
          </a:solidFill>
          <a:ln w="28575" cap="rnd">
            <a:solidFill>
              <a:schemeClr val="accent2"/>
            </a:solidFill>
            <a:round/>
          </a:ln>
          <a:effectLst/>
        </c:spPr>
        <c:marker>
          <c:symbol val="none"/>
        </c:marker>
      </c:pivotFmt>
      <c:pivotFmt>
        <c:idx val="257"/>
        <c:spPr>
          <a:solidFill>
            <a:schemeClr val="accent1"/>
          </a:solidFill>
          <a:ln w="28575" cap="rnd">
            <a:solidFill>
              <a:schemeClr val="accent2"/>
            </a:solidFill>
            <a:round/>
          </a:ln>
          <a:effectLst/>
        </c:spPr>
        <c:marker>
          <c:symbol val="none"/>
        </c:marker>
      </c:pivotFmt>
      <c:pivotFmt>
        <c:idx val="258"/>
        <c:spPr>
          <a:solidFill>
            <a:schemeClr val="accent1"/>
          </a:solidFill>
          <a:ln w="28575" cap="rnd">
            <a:solidFill>
              <a:schemeClr val="accent2"/>
            </a:solidFill>
            <a:round/>
          </a:ln>
          <a:effectLst/>
        </c:spPr>
        <c:marker>
          <c:symbol val="none"/>
        </c:marker>
      </c:pivotFmt>
      <c:pivotFmt>
        <c:idx val="259"/>
        <c:spPr>
          <a:solidFill>
            <a:schemeClr val="accent1"/>
          </a:solidFill>
          <a:ln w="28575" cap="rnd">
            <a:solidFill>
              <a:schemeClr val="accent2"/>
            </a:solidFill>
            <a:round/>
          </a:ln>
          <a:effectLst/>
        </c:spPr>
        <c:marker>
          <c:symbol val="none"/>
        </c:marker>
      </c:pivotFmt>
      <c:pivotFmt>
        <c:idx val="260"/>
        <c:spPr>
          <a:solidFill>
            <a:schemeClr val="accent1"/>
          </a:solidFill>
          <a:ln w="28575" cap="rnd">
            <a:solidFill>
              <a:schemeClr val="accent2"/>
            </a:solidFill>
            <a:round/>
          </a:ln>
          <a:effectLst/>
        </c:spPr>
        <c:marker>
          <c:symbol val="none"/>
        </c:marker>
      </c:pivotFmt>
      <c:pivotFmt>
        <c:idx val="261"/>
        <c:spPr>
          <a:solidFill>
            <a:schemeClr val="accent1"/>
          </a:solidFill>
          <a:ln w="28575" cap="rnd">
            <a:solidFill>
              <a:schemeClr val="accent2"/>
            </a:solidFill>
            <a:round/>
          </a:ln>
          <a:effectLst/>
        </c:spPr>
        <c:marker>
          <c:symbol val="none"/>
        </c:marker>
      </c:pivotFmt>
      <c:pivotFmt>
        <c:idx val="262"/>
        <c:spPr>
          <a:solidFill>
            <a:schemeClr val="accent1"/>
          </a:solidFill>
          <a:ln w="28575" cap="rnd">
            <a:solidFill>
              <a:schemeClr val="accent2"/>
            </a:solidFill>
            <a:round/>
          </a:ln>
          <a:effectLst/>
        </c:spPr>
        <c:marker>
          <c:symbol val="none"/>
        </c:marker>
      </c:pivotFmt>
      <c:pivotFmt>
        <c:idx val="263"/>
        <c:spPr>
          <a:solidFill>
            <a:schemeClr val="accent1"/>
          </a:solidFill>
          <a:ln w="28575" cap="rnd">
            <a:solidFill>
              <a:schemeClr val="accent2"/>
            </a:solidFill>
            <a:round/>
          </a:ln>
          <a:effectLst/>
        </c:spPr>
        <c:marker>
          <c:symbol val="none"/>
        </c:marker>
      </c:pivotFmt>
      <c:pivotFmt>
        <c:idx val="264"/>
        <c:spPr>
          <a:solidFill>
            <a:schemeClr val="accent1"/>
          </a:solidFill>
          <a:ln w="28575" cap="rnd">
            <a:solidFill>
              <a:schemeClr val="accent2"/>
            </a:solidFill>
            <a:round/>
          </a:ln>
          <a:effectLst/>
        </c:spPr>
        <c:marker>
          <c:symbol val="none"/>
        </c:marker>
      </c:pivotFmt>
      <c:pivotFmt>
        <c:idx val="265"/>
        <c:spPr>
          <a:solidFill>
            <a:schemeClr val="accent1"/>
          </a:solidFill>
          <a:ln w="28575" cap="rnd">
            <a:solidFill>
              <a:schemeClr val="accent2"/>
            </a:solidFill>
            <a:round/>
          </a:ln>
          <a:effectLst/>
        </c:spPr>
        <c:marker>
          <c:symbol val="none"/>
        </c:marker>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3"/>
            </a:solidFill>
            <a:round/>
          </a:ln>
          <a:effectLst/>
        </c:spPr>
        <c:marker>
          <c:symbol val="none"/>
        </c:marker>
      </c:pivotFmt>
      <c:pivotFmt>
        <c:idx val="268"/>
        <c:spPr>
          <a:solidFill>
            <a:schemeClr val="accent1"/>
          </a:solidFill>
          <a:ln w="28575" cap="rnd">
            <a:solidFill>
              <a:schemeClr val="accent3"/>
            </a:solidFill>
            <a:round/>
          </a:ln>
          <a:effectLst/>
        </c:spPr>
        <c:marker>
          <c:symbol val="none"/>
        </c:marker>
      </c:pivotFmt>
      <c:pivotFmt>
        <c:idx val="269"/>
        <c:spPr>
          <a:solidFill>
            <a:schemeClr val="accent1"/>
          </a:solidFill>
          <a:ln w="28575" cap="rnd">
            <a:solidFill>
              <a:schemeClr val="accent3"/>
            </a:solidFill>
            <a:round/>
          </a:ln>
          <a:effectLst/>
        </c:spPr>
        <c:marker>
          <c:symbol val="none"/>
        </c:marker>
      </c:pivotFmt>
      <c:pivotFmt>
        <c:idx val="270"/>
        <c:spPr>
          <a:solidFill>
            <a:schemeClr val="accent1"/>
          </a:solidFill>
          <a:ln w="28575" cap="rnd">
            <a:solidFill>
              <a:schemeClr val="accent3"/>
            </a:solidFill>
            <a:round/>
          </a:ln>
          <a:effectLst/>
        </c:spPr>
        <c:marker>
          <c:symbol val="none"/>
        </c:marker>
      </c:pivotFmt>
      <c:pivotFmt>
        <c:idx val="271"/>
        <c:spPr>
          <a:solidFill>
            <a:schemeClr val="accent1"/>
          </a:solidFill>
          <a:ln w="28575" cap="rnd">
            <a:solidFill>
              <a:schemeClr val="accent3"/>
            </a:solidFill>
            <a:round/>
          </a:ln>
          <a:effectLst/>
        </c:spPr>
        <c:marker>
          <c:symbol val="none"/>
        </c:marker>
      </c:pivotFmt>
      <c:pivotFmt>
        <c:idx val="272"/>
        <c:spPr>
          <a:solidFill>
            <a:schemeClr val="accent1"/>
          </a:solidFill>
          <a:ln w="28575" cap="rnd">
            <a:solidFill>
              <a:schemeClr val="accent3"/>
            </a:solidFill>
            <a:round/>
          </a:ln>
          <a:effectLst/>
        </c:spPr>
        <c:marker>
          <c:symbol val="none"/>
        </c:marker>
      </c:pivotFmt>
      <c:pivotFmt>
        <c:idx val="273"/>
        <c:spPr>
          <a:solidFill>
            <a:schemeClr val="accent1"/>
          </a:solidFill>
          <a:ln w="28575" cap="rnd">
            <a:solidFill>
              <a:schemeClr val="accent3"/>
            </a:solidFill>
            <a:round/>
          </a:ln>
          <a:effectLst/>
        </c:spPr>
        <c:marker>
          <c:symbol val="none"/>
        </c:marker>
      </c:pivotFmt>
      <c:pivotFmt>
        <c:idx val="274"/>
        <c:spPr>
          <a:solidFill>
            <a:schemeClr val="accent1"/>
          </a:solidFill>
          <a:ln w="28575" cap="rnd">
            <a:solidFill>
              <a:schemeClr val="accent3"/>
            </a:solidFill>
            <a:round/>
          </a:ln>
          <a:effectLst/>
        </c:spPr>
        <c:marker>
          <c:symbol val="none"/>
        </c:marker>
      </c:pivotFmt>
      <c:pivotFmt>
        <c:idx val="275"/>
        <c:spPr>
          <a:solidFill>
            <a:schemeClr val="accent1"/>
          </a:solidFill>
          <a:ln w="28575" cap="rnd">
            <a:solidFill>
              <a:schemeClr val="accent3"/>
            </a:solidFill>
            <a:round/>
          </a:ln>
          <a:effectLst/>
        </c:spPr>
        <c:marker>
          <c:symbol val="none"/>
        </c:marker>
      </c:pivotFmt>
      <c:pivotFmt>
        <c:idx val="276"/>
        <c:spPr>
          <a:solidFill>
            <a:schemeClr val="accent1"/>
          </a:solidFill>
          <a:ln w="28575" cap="rnd">
            <a:solidFill>
              <a:schemeClr val="accent3"/>
            </a:solidFill>
            <a:round/>
          </a:ln>
          <a:effectLst/>
        </c:spPr>
        <c:marker>
          <c:symbol val="none"/>
        </c:marker>
      </c:pivotFmt>
      <c:pivotFmt>
        <c:idx val="277"/>
        <c:spPr>
          <a:solidFill>
            <a:schemeClr val="accent1"/>
          </a:solidFill>
          <a:ln w="28575" cap="rnd">
            <a:solidFill>
              <a:schemeClr val="accent3"/>
            </a:solidFill>
            <a:round/>
          </a:ln>
          <a:effectLst/>
        </c:spPr>
        <c:marker>
          <c:symbol val="none"/>
        </c:marker>
      </c:pivotFmt>
      <c:pivotFmt>
        <c:idx val="278"/>
        <c:spPr>
          <a:solidFill>
            <a:schemeClr val="accent1"/>
          </a:solidFill>
          <a:ln w="28575" cap="rnd">
            <a:solidFill>
              <a:schemeClr val="accent3"/>
            </a:solidFill>
            <a:round/>
          </a:ln>
          <a:effectLst/>
        </c:spPr>
        <c:marker>
          <c:symbol val="none"/>
        </c:marker>
      </c:pivotFmt>
      <c:pivotFmt>
        <c:idx val="2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ln w="28575" cap="rnd">
            <a:solidFill>
              <a:schemeClr val="accent1"/>
            </a:solidFill>
            <a:round/>
          </a:ln>
          <a:effectLst/>
        </c:spPr>
        <c:marker>
          <c:symbol val="none"/>
        </c:marker>
      </c:pivotFmt>
      <c:pivotFmt>
        <c:idx val="281"/>
        <c:spPr>
          <a:ln w="28575" cap="rnd">
            <a:solidFill>
              <a:schemeClr val="accent1"/>
            </a:solidFill>
            <a:round/>
          </a:ln>
          <a:effectLst/>
        </c:spPr>
        <c:marker>
          <c:symbol val="none"/>
        </c:marker>
      </c:pivotFmt>
      <c:pivotFmt>
        <c:idx val="282"/>
        <c:spPr>
          <a:ln w="28575" cap="rnd">
            <a:solidFill>
              <a:schemeClr val="accent1"/>
            </a:solidFill>
            <a:round/>
          </a:ln>
          <a:effectLst/>
        </c:spPr>
        <c:marker>
          <c:symbol val="none"/>
        </c:marker>
      </c:pivotFmt>
      <c:pivotFmt>
        <c:idx val="283"/>
        <c:spPr>
          <a:ln w="28575" cap="rnd">
            <a:solidFill>
              <a:schemeClr val="accent1"/>
            </a:solidFill>
            <a:round/>
          </a:ln>
          <a:effectLst/>
        </c:spPr>
        <c:marker>
          <c:symbol val="none"/>
        </c:marker>
      </c:pivotFmt>
      <c:pivotFmt>
        <c:idx val="284"/>
        <c:spPr>
          <a:ln w="28575" cap="rnd">
            <a:solidFill>
              <a:schemeClr val="accent1"/>
            </a:solidFill>
            <a:round/>
          </a:ln>
          <a:effectLst/>
        </c:spPr>
        <c:marker>
          <c:symbol val="none"/>
        </c:marker>
      </c:pivotFmt>
      <c:pivotFmt>
        <c:idx val="285"/>
        <c:spPr>
          <a:ln w="28575" cap="rnd">
            <a:solidFill>
              <a:schemeClr val="accent1"/>
            </a:solidFill>
            <a:round/>
          </a:ln>
          <a:effectLst/>
        </c:spPr>
        <c:marker>
          <c:symbol val="none"/>
        </c:marker>
      </c:pivotFmt>
      <c:pivotFmt>
        <c:idx val="286"/>
        <c:spPr>
          <a:ln w="28575" cap="rnd">
            <a:solidFill>
              <a:schemeClr val="accent1"/>
            </a:solidFill>
            <a:round/>
          </a:ln>
          <a:effectLst/>
        </c:spPr>
        <c:marker>
          <c:symbol val="none"/>
        </c:marker>
      </c:pivotFmt>
      <c:pivotFmt>
        <c:idx val="287"/>
        <c:spPr>
          <a:ln w="28575" cap="rnd">
            <a:solidFill>
              <a:schemeClr val="accent1"/>
            </a:solidFill>
            <a:round/>
          </a:ln>
          <a:effectLst/>
        </c:spPr>
        <c:marker>
          <c:symbol val="none"/>
        </c:marker>
      </c:pivotFmt>
      <c:pivotFmt>
        <c:idx val="288"/>
        <c:spPr>
          <a:ln w="28575" cap="rnd">
            <a:solidFill>
              <a:schemeClr val="accent1"/>
            </a:solidFill>
            <a:round/>
          </a:ln>
          <a:effectLst/>
        </c:spPr>
        <c:marker>
          <c:symbol val="none"/>
        </c:marker>
      </c:pivotFmt>
      <c:pivotFmt>
        <c:idx val="289"/>
        <c:spPr>
          <a:ln w="28575" cap="rnd">
            <a:solidFill>
              <a:schemeClr val="accent1"/>
            </a:solidFill>
            <a:round/>
          </a:ln>
          <a:effectLst/>
        </c:spPr>
        <c:marker>
          <c:symbol val="none"/>
        </c:marker>
      </c:pivotFmt>
      <c:pivotFmt>
        <c:idx val="290"/>
        <c:spPr>
          <a:ln w="28575" cap="rnd">
            <a:solidFill>
              <a:schemeClr val="accent1"/>
            </a:solidFill>
            <a:round/>
          </a:ln>
          <a:effectLst/>
        </c:spPr>
        <c:marker>
          <c:symbol val="none"/>
        </c:marker>
      </c:pivotFmt>
      <c:pivotFmt>
        <c:idx val="291"/>
        <c:spPr>
          <a:ln w="28575" cap="rnd">
            <a:solidFill>
              <a:schemeClr val="accent1"/>
            </a:solidFill>
            <a:round/>
          </a:ln>
          <a:effectLst/>
        </c:spPr>
        <c:marker>
          <c:symbol val="none"/>
        </c:marker>
      </c:pivotFmt>
      <c:pivotFmt>
        <c:idx val="2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ln w="28575" cap="rnd">
            <a:solidFill>
              <a:schemeClr val="accent2"/>
            </a:solidFill>
            <a:round/>
          </a:ln>
          <a:effectLst/>
        </c:spPr>
        <c:marker>
          <c:symbol val="none"/>
        </c:marker>
      </c:pivotFmt>
      <c:pivotFmt>
        <c:idx val="294"/>
        <c:spPr>
          <a:ln w="28575" cap="rnd">
            <a:solidFill>
              <a:schemeClr val="accent2"/>
            </a:solidFill>
            <a:round/>
          </a:ln>
          <a:effectLst/>
        </c:spPr>
        <c:marker>
          <c:symbol val="none"/>
        </c:marker>
      </c:pivotFmt>
      <c:pivotFmt>
        <c:idx val="295"/>
        <c:spPr>
          <a:ln w="28575" cap="rnd">
            <a:solidFill>
              <a:schemeClr val="accent2"/>
            </a:solidFill>
            <a:round/>
          </a:ln>
          <a:effectLst/>
        </c:spPr>
        <c:marker>
          <c:symbol val="none"/>
        </c:marker>
      </c:pivotFmt>
      <c:pivotFmt>
        <c:idx val="296"/>
        <c:spPr>
          <a:ln w="28575" cap="rnd">
            <a:solidFill>
              <a:schemeClr val="accent2"/>
            </a:solidFill>
            <a:round/>
          </a:ln>
          <a:effectLst/>
        </c:spPr>
        <c:marker>
          <c:symbol val="none"/>
        </c:marker>
      </c:pivotFmt>
      <c:pivotFmt>
        <c:idx val="297"/>
        <c:spPr>
          <a:ln w="28575" cap="rnd">
            <a:solidFill>
              <a:schemeClr val="accent2"/>
            </a:solidFill>
            <a:round/>
          </a:ln>
          <a:effectLst/>
        </c:spPr>
        <c:marker>
          <c:symbol val="none"/>
        </c:marker>
      </c:pivotFmt>
      <c:pivotFmt>
        <c:idx val="298"/>
        <c:spPr>
          <a:ln w="28575" cap="rnd">
            <a:solidFill>
              <a:schemeClr val="accent2"/>
            </a:solidFill>
            <a:round/>
          </a:ln>
          <a:effectLst/>
        </c:spPr>
        <c:marker>
          <c:symbol val="none"/>
        </c:marker>
      </c:pivotFmt>
      <c:pivotFmt>
        <c:idx val="299"/>
        <c:spPr>
          <a:ln w="28575" cap="rnd">
            <a:solidFill>
              <a:schemeClr val="accent2"/>
            </a:solidFill>
            <a:round/>
          </a:ln>
          <a:effectLst/>
        </c:spPr>
        <c:marker>
          <c:symbol val="none"/>
        </c:marker>
      </c:pivotFmt>
      <c:pivotFmt>
        <c:idx val="300"/>
        <c:spPr>
          <a:ln w="28575" cap="rnd">
            <a:solidFill>
              <a:schemeClr val="accent2"/>
            </a:solidFill>
            <a:round/>
          </a:ln>
          <a:effectLst/>
        </c:spPr>
        <c:marker>
          <c:symbol val="none"/>
        </c:marker>
      </c:pivotFmt>
      <c:pivotFmt>
        <c:idx val="301"/>
        <c:spPr>
          <a:ln w="28575" cap="rnd">
            <a:solidFill>
              <a:schemeClr val="accent2"/>
            </a:solidFill>
            <a:round/>
          </a:ln>
          <a:effectLst/>
        </c:spPr>
        <c:marker>
          <c:symbol val="none"/>
        </c:marker>
      </c:pivotFmt>
      <c:pivotFmt>
        <c:idx val="302"/>
        <c:spPr>
          <a:ln w="28575" cap="rnd">
            <a:solidFill>
              <a:schemeClr val="accent2"/>
            </a:solidFill>
            <a:round/>
          </a:ln>
          <a:effectLst/>
        </c:spPr>
        <c:marker>
          <c:symbol val="none"/>
        </c:marker>
      </c:pivotFmt>
      <c:pivotFmt>
        <c:idx val="303"/>
        <c:spPr>
          <a:ln w="28575" cap="rnd">
            <a:solidFill>
              <a:schemeClr val="accent2"/>
            </a:solidFill>
            <a:round/>
          </a:ln>
          <a:effectLst/>
        </c:spPr>
        <c:marker>
          <c:symbol val="none"/>
        </c:marker>
      </c:pivotFmt>
      <c:pivotFmt>
        <c:idx val="304"/>
        <c:spPr>
          <a:ln w="28575" cap="rnd">
            <a:solidFill>
              <a:schemeClr val="accent2"/>
            </a:solidFill>
            <a:round/>
          </a:ln>
          <a:effectLst/>
        </c:spPr>
        <c:marker>
          <c:symbol val="none"/>
        </c:marker>
      </c:pivotFmt>
      <c:pivotFmt>
        <c:idx val="3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ln w="28575" cap="rnd">
            <a:solidFill>
              <a:schemeClr val="accent3"/>
            </a:solidFill>
            <a:round/>
          </a:ln>
          <a:effectLst/>
        </c:spPr>
        <c:marker>
          <c:symbol val="none"/>
        </c:marker>
      </c:pivotFmt>
      <c:pivotFmt>
        <c:idx val="307"/>
        <c:spPr>
          <a:ln w="28575" cap="rnd">
            <a:solidFill>
              <a:schemeClr val="accent3"/>
            </a:solidFill>
            <a:round/>
          </a:ln>
          <a:effectLst/>
        </c:spPr>
        <c:marker>
          <c:symbol val="none"/>
        </c:marker>
      </c:pivotFmt>
      <c:pivotFmt>
        <c:idx val="308"/>
        <c:spPr>
          <a:ln w="28575" cap="rnd">
            <a:solidFill>
              <a:schemeClr val="accent3"/>
            </a:solidFill>
            <a:round/>
          </a:ln>
          <a:effectLst/>
        </c:spPr>
        <c:marker>
          <c:symbol val="none"/>
        </c:marker>
      </c:pivotFmt>
      <c:pivotFmt>
        <c:idx val="309"/>
        <c:spPr>
          <a:ln w="28575" cap="rnd">
            <a:solidFill>
              <a:schemeClr val="accent3"/>
            </a:solidFill>
            <a:round/>
          </a:ln>
          <a:effectLst/>
        </c:spPr>
        <c:marker>
          <c:symbol val="none"/>
        </c:marker>
      </c:pivotFmt>
      <c:pivotFmt>
        <c:idx val="310"/>
        <c:spPr>
          <a:ln w="28575" cap="rnd">
            <a:solidFill>
              <a:schemeClr val="accent3"/>
            </a:solidFill>
            <a:round/>
          </a:ln>
          <a:effectLst/>
        </c:spPr>
        <c:marker>
          <c:symbol val="none"/>
        </c:marker>
      </c:pivotFmt>
      <c:pivotFmt>
        <c:idx val="311"/>
        <c:spPr>
          <a:ln w="28575" cap="rnd">
            <a:solidFill>
              <a:schemeClr val="accent3"/>
            </a:solidFill>
            <a:round/>
          </a:ln>
          <a:effectLst/>
        </c:spPr>
        <c:marker>
          <c:symbol val="none"/>
        </c:marker>
      </c:pivotFmt>
      <c:pivotFmt>
        <c:idx val="312"/>
        <c:spPr>
          <a:ln w="28575" cap="rnd">
            <a:solidFill>
              <a:schemeClr val="accent3"/>
            </a:solidFill>
            <a:round/>
          </a:ln>
          <a:effectLst/>
        </c:spPr>
        <c:marker>
          <c:symbol val="none"/>
        </c:marker>
      </c:pivotFmt>
      <c:pivotFmt>
        <c:idx val="313"/>
        <c:spPr>
          <a:ln w="28575" cap="rnd">
            <a:solidFill>
              <a:schemeClr val="accent3"/>
            </a:solidFill>
            <a:round/>
          </a:ln>
          <a:effectLst/>
        </c:spPr>
        <c:marker>
          <c:symbol val="none"/>
        </c:marker>
      </c:pivotFmt>
      <c:pivotFmt>
        <c:idx val="314"/>
        <c:spPr>
          <a:ln w="28575" cap="rnd">
            <a:solidFill>
              <a:schemeClr val="accent3"/>
            </a:solidFill>
            <a:round/>
          </a:ln>
          <a:effectLst/>
        </c:spPr>
        <c:marker>
          <c:symbol val="none"/>
        </c:marker>
      </c:pivotFmt>
      <c:pivotFmt>
        <c:idx val="315"/>
        <c:spPr>
          <a:ln w="28575" cap="rnd">
            <a:solidFill>
              <a:schemeClr val="accent3"/>
            </a:solidFill>
            <a:round/>
          </a:ln>
          <a:effectLst/>
        </c:spPr>
        <c:marker>
          <c:symbol val="none"/>
        </c:marker>
      </c:pivotFmt>
      <c:pivotFmt>
        <c:idx val="316"/>
        <c:spPr>
          <a:ln w="28575" cap="rnd">
            <a:solidFill>
              <a:schemeClr val="accent3"/>
            </a:solidFill>
            <a:round/>
          </a:ln>
          <a:effectLst/>
        </c:spPr>
        <c:marker>
          <c:symbol val="none"/>
        </c:marker>
      </c:pivotFmt>
      <c:pivotFmt>
        <c:idx val="317"/>
        <c:spPr>
          <a:ln w="28575" cap="rnd">
            <a:solidFill>
              <a:schemeClr val="accent3"/>
            </a:solidFill>
            <a:round/>
          </a:ln>
          <a:effectLst/>
        </c:spPr>
        <c:marker>
          <c:symbol val="none"/>
        </c:marker>
      </c:pivotFmt>
    </c:pivotFmts>
    <c:plotArea>
      <c:layout/>
      <c:lineChart>
        <c:grouping val="stacked"/>
        <c:varyColors val="0"/>
        <c:ser>
          <c:idx val="0"/>
          <c:order val="0"/>
          <c:tx>
            <c:strRef>
              <c:f>Sheet1!$B$3</c:f>
              <c:strCache>
                <c:ptCount val="1"/>
                <c:pt idx="0">
                  <c:v>Sum of No. of Sales</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77F4-43B1-ACE1-250CC89F5321}"/>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77F4-43B1-ACE1-250CC89F5321}"/>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77F4-43B1-ACE1-250CC89F5321}"/>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77F4-43B1-ACE1-250CC89F5321}"/>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77F4-43B1-ACE1-250CC89F5321}"/>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77F4-43B1-ACE1-250CC89F5321}"/>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D-77F4-43B1-ACE1-250CC89F5321}"/>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F-77F4-43B1-ACE1-250CC89F5321}"/>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11-77F4-43B1-ACE1-250CC89F5321}"/>
              </c:ext>
            </c:extLst>
          </c:dPt>
          <c:dPt>
            <c:idx val="9"/>
            <c:marker>
              <c:symbol val="none"/>
            </c:marker>
            <c:bubble3D val="0"/>
            <c:spPr>
              <a:ln w="28575" cap="rnd">
                <a:solidFill>
                  <a:schemeClr val="accent1"/>
                </a:solidFill>
                <a:round/>
              </a:ln>
              <a:effectLst/>
            </c:spPr>
            <c:extLst>
              <c:ext xmlns:c16="http://schemas.microsoft.com/office/drawing/2014/chart" uri="{C3380CC4-5D6E-409C-BE32-E72D297353CC}">
                <c16:uniqueId val="{00000013-77F4-43B1-ACE1-250CC89F5321}"/>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15-77F4-43B1-ACE1-250CC89F5321}"/>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17-77F4-43B1-ACE1-250CC89F5321}"/>
              </c:ext>
            </c:extLst>
          </c:dPt>
          <c:cat>
            <c:strRef>
              <c:f>Sheet1!$A$4:$A$16</c:f>
              <c:strCache>
                <c:ptCount val="12"/>
                <c:pt idx="0">
                  <c:v>Diwali</c:v>
                </c:pt>
                <c:pt idx="1">
                  <c:v>Dussehra</c:v>
                </c:pt>
                <c:pt idx="2">
                  <c:v>Ganesh Chaturthi</c:v>
                </c:pt>
                <c:pt idx="3">
                  <c:v>Holi</c:v>
                </c:pt>
                <c:pt idx="4">
                  <c:v>Independence Day Sale</c:v>
                </c:pt>
                <c:pt idx="5">
                  <c:v>Makar Sankranti</c:v>
                </c:pt>
                <c:pt idx="6">
                  <c:v>Navratri</c:v>
                </c:pt>
                <c:pt idx="7">
                  <c:v>New Year</c:v>
                </c:pt>
                <c:pt idx="8">
                  <c:v>Onam</c:v>
                </c:pt>
                <c:pt idx="9">
                  <c:v>Pongal</c:v>
                </c:pt>
                <c:pt idx="10">
                  <c:v>Republic Day Sale</c:v>
                </c:pt>
                <c:pt idx="11">
                  <c:v>Ugadi</c:v>
                </c:pt>
              </c:strCache>
            </c:strRef>
          </c:cat>
          <c:val>
            <c:numRef>
              <c:f>Sheet1!$B$4:$B$16</c:f>
              <c:numCache>
                <c:formatCode>General</c:formatCode>
                <c:ptCount val="12"/>
                <c:pt idx="0">
                  <c:v>96</c:v>
                </c:pt>
                <c:pt idx="1">
                  <c:v>88</c:v>
                </c:pt>
                <c:pt idx="2">
                  <c:v>95</c:v>
                </c:pt>
                <c:pt idx="3">
                  <c:v>86</c:v>
                </c:pt>
                <c:pt idx="4">
                  <c:v>91</c:v>
                </c:pt>
                <c:pt idx="5">
                  <c:v>80</c:v>
                </c:pt>
                <c:pt idx="6">
                  <c:v>74</c:v>
                </c:pt>
                <c:pt idx="7">
                  <c:v>80</c:v>
                </c:pt>
                <c:pt idx="8">
                  <c:v>79</c:v>
                </c:pt>
                <c:pt idx="9">
                  <c:v>72</c:v>
                </c:pt>
                <c:pt idx="10">
                  <c:v>77</c:v>
                </c:pt>
                <c:pt idx="11">
                  <c:v>82</c:v>
                </c:pt>
              </c:numCache>
            </c:numRef>
          </c:val>
          <c:smooth val="0"/>
          <c:extLst>
            <c:ext xmlns:c16="http://schemas.microsoft.com/office/drawing/2014/chart" uri="{C3380CC4-5D6E-409C-BE32-E72D297353CC}">
              <c16:uniqueId val="{00000018-77F4-43B1-ACE1-250CC89F5321}"/>
            </c:ext>
          </c:extLst>
        </c:ser>
        <c:ser>
          <c:idx val="1"/>
          <c:order val="1"/>
          <c:tx>
            <c:strRef>
              <c:f>Sheet1!$C$3</c:f>
              <c:strCache>
                <c:ptCount val="1"/>
                <c:pt idx="0">
                  <c:v>Sum of Total Revenue ($)</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1A-77F4-43B1-ACE1-250CC89F5321}"/>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1C-77F4-43B1-ACE1-250CC89F5321}"/>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1E-77F4-43B1-ACE1-250CC89F5321}"/>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20-77F4-43B1-ACE1-250CC89F5321}"/>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22-77F4-43B1-ACE1-250CC89F5321}"/>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24-77F4-43B1-ACE1-250CC89F5321}"/>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26-77F4-43B1-ACE1-250CC89F5321}"/>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28-77F4-43B1-ACE1-250CC89F5321}"/>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2A-77F4-43B1-ACE1-250CC89F5321}"/>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2C-77F4-43B1-ACE1-250CC89F5321}"/>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2E-77F4-43B1-ACE1-250CC89F5321}"/>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30-77F4-43B1-ACE1-250CC89F5321}"/>
              </c:ext>
            </c:extLst>
          </c:dPt>
          <c:cat>
            <c:strRef>
              <c:f>Sheet1!$A$4:$A$16</c:f>
              <c:strCache>
                <c:ptCount val="12"/>
                <c:pt idx="0">
                  <c:v>Diwali</c:v>
                </c:pt>
                <c:pt idx="1">
                  <c:v>Dussehra</c:v>
                </c:pt>
                <c:pt idx="2">
                  <c:v>Ganesh Chaturthi</c:v>
                </c:pt>
                <c:pt idx="3">
                  <c:v>Holi</c:v>
                </c:pt>
                <c:pt idx="4">
                  <c:v>Independence Day Sale</c:v>
                </c:pt>
                <c:pt idx="5">
                  <c:v>Makar Sankranti</c:v>
                </c:pt>
                <c:pt idx="6">
                  <c:v>Navratri</c:v>
                </c:pt>
                <c:pt idx="7">
                  <c:v>New Year</c:v>
                </c:pt>
                <c:pt idx="8">
                  <c:v>Onam</c:v>
                </c:pt>
                <c:pt idx="9">
                  <c:v>Pongal</c:v>
                </c:pt>
                <c:pt idx="10">
                  <c:v>Republic Day Sale</c:v>
                </c:pt>
                <c:pt idx="11">
                  <c:v>Ugadi</c:v>
                </c:pt>
              </c:strCache>
            </c:strRef>
          </c:cat>
          <c:val>
            <c:numRef>
              <c:f>Sheet1!$C$4:$C$16</c:f>
              <c:numCache>
                <c:formatCode>\$#,##0</c:formatCode>
                <c:ptCount val="12"/>
                <c:pt idx="0">
                  <c:v>10374825.905999999</c:v>
                </c:pt>
                <c:pt idx="1">
                  <c:v>10165164.999000005</c:v>
                </c:pt>
                <c:pt idx="2">
                  <c:v>10651512.356000002</c:v>
                </c:pt>
                <c:pt idx="3">
                  <c:v>9934489.5230000019</c:v>
                </c:pt>
                <c:pt idx="4">
                  <c:v>9531893.2409999985</c:v>
                </c:pt>
                <c:pt idx="5">
                  <c:v>8906814.3179999962</c:v>
                </c:pt>
                <c:pt idx="6">
                  <c:v>8291132.4050000012</c:v>
                </c:pt>
                <c:pt idx="7">
                  <c:v>8936654.8469999973</c:v>
                </c:pt>
                <c:pt idx="8">
                  <c:v>8898658.0510000009</c:v>
                </c:pt>
                <c:pt idx="9">
                  <c:v>8122862.0210000006</c:v>
                </c:pt>
                <c:pt idx="10">
                  <c:v>9027555.7770000007</c:v>
                </c:pt>
                <c:pt idx="11">
                  <c:v>8821021.4089999963</c:v>
                </c:pt>
              </c:numCache>
            </c:numRef>
          </c:val>
          <c:smooth val="0"/>
          <c:extLst>
            <c:ext xmlns:c16="http://schemas.microsoft.com/office/drawing/2014/chart" uri="{C3380CC4-5D6E-409C-BE32-E72D297353CC}">
              <c16:uniqueId val="{00000031-77F4-43B1-ACE1-250CC89F5321}"/>
            </c:ext>
          </c:extLst>
        </c:ser>
        <c:ser>
          <c:idx val="2"/>
          <c:order val="2"/>
          <c:tx>
            <c:strRef>
              <c:f>Sheet1!$D$3</c:f>
              <c:strCache>
                <c:ptCount val="1"/>
                <c:pt idx="0">
                  <c:v>Sum of Avg Discount (%)</c:v>
                </c:pt>
              </c:strCache>
            </c:strRef>
          </c:tx>
          <c:spPr>
            <a:ln w="28575" cap="rnd">
              <a:solidFill>
                <a:schemeClr val="accent3"/>
              </a:solidFill>
              <a:round/>
            </a:ln>
            <a:effectLst/>
          </c:spPr>
          <c:marker>
            <c:symbol val="none"/>
          </c:marker>
          <c:dPt>
            <c:idx val="0"/>
            <c:marker>
              <c:symbol val="none"/>
            </c:marker>
            <c:bubble3D val="0"/>
            <c:spPr>
              <a:ln w="28575" cap="rnd">
                <a:solidFill>
                  <a:schemeClr val="accent3"/>
                </a:solidFill>
                <a:round/>
              </a:ln>
              <a:effectLst/>
            </c:spPr>
            <c:extLst>
              <c:ext xmlns:c16="http://schemas.microsoft.com/office/drawing/2014/chart" uri="{C3380CC4-5D6E-409C-BE32-E72D297353CC}">
                <c16:uniqueId val="{00000033-77F4-43B1-ACE1-250CC89F5321}"/>
              </c:ext>
            </c:extLst>
          </c:dPt>
          <c:dPt>
            <c:idx val="1"/>
            <c:marker>
              <c:symbol val="none"/>
            </c:marker>
            <c:bubble3D val="0"/>
            <c:spPr>
              <a:ln w="28575" cap="rnd">
                <a:solidFill>
                  <a:schemeClr val="accent3"/>
                </a:solidFill>
                <a:round/>
              </a:ln>
              <a:effectLst/>
            </c:spPr>
            <c:extLst>
              <c:ext xmlns:c16="http://schemas.microsoft.com/office/drawing/2014/chart" uri="{C3380CC4-5D6E-409C-BE32-E72D297353CC}">
                <c16:uniqueId val="{00000035-77F4-43B1-ACE1-250CC89F5321}"/>
              </c:ext>
            </c:extLst>
          </c:dPt>
          <c:dPt>
            <c:idx val="2"/>
            <c:marker>
              <c:symbol val="none"/>
            </c:marker>
            <c:bubble3D val="0"/>
            <c:spPr>
              <a:ln w="28575" cap="rnd">
                <a:solidFill>
                  <a:schemeClr val="accent3"/>
                </a:solidFill>
                <a:round/>
              </a:ln>
              <a:effectLst/>
            </c:spPr>
            <c:extLst>
              <c:ext xmlns:c16="http://schemas.microsoft.com/office/drawing/2014/chart" uri="{C3380CC4-5D6E-409C-BE32-E72D297353CC}">
                <c16:uniqueId val="{00000037-77F4-43B1-ACE1-250CC89F5321}"/>
              </c:ext>
            </c:extLst>
          </c:dPt>
          <c:dPt>
            <c:idx val="3"/>
            <c:marker>
              <c:symbol val="none"/>
            </c:marker>
            <c:bubble3D val="0"/>
            <c:spPr>
              <a:ln w="28575" cap="rnd">
                <a:solidFill>
                  <a:schemeClr val="accent3"/>
                </a:solidFill>
                <a:round/>
              </a:ln>
              <a:effectLst/>
            </c:spPr>
            <c:extLst>
              <c:ext xmlns:c16="http://schemas.microsoft.com/office/drawing/2014/chart" uri="{C3380CC4-5D6E-409C-BE32-E72D297353CC}">
                <c16:uniqueId val="{00000039-77F4-43B1-ACE1-250CC89F5321}"/>
              </c:ext>
            </c:extLst>
          </c:dPt>
          <c:dPt>
            <c:idx val="4"/>
            <c:marker>
              <c:symbol val="none"/>
            </c:marker>
            <c:bubble3D val="0"/>
            <c:spPr>
              <a:ln w="28575" cap="rnd">
                <a:solidFill>
                  <a:schemeClr val="accent3"/>
                </a:solidFill>
                <a:round/>
              </a:ln>
              <a:effectLst/>
            </c:spPr>
            <c:extLst>
              <c:ext xmlns:c16="http://schemas.microsoft.com/office/drawing/2014/chart" uri="{C3380CC4-5D6E-409C-BE32-E72D297353CC}">
                <c16:uniqueId val="{0000003B-77F4-43B1-ACE1-250CC89F5321}"/>
              </c:ext>
            </c:extLst>
          </c:dPt>
          <c:dPt>
            <c:idx val="5"/>
            <c:marker>
              <c:symbol val="none"/>
            </c:marker>
            <c:bubble3D val="0"/>
            <c:spPr>
              <a:ln w="28575" cap="rnd">
                <a:solidFill>
                  <a:schemeClr val="accent3"/>
                </a:solidFill>
                <a:round/>
              </a:ln>
              <a:effectLst/>
            </c:spPr>
            <c:extLst>
              <c:ext xmlns:c16="http://schemas.microsoft.com/office/drawing/2014/chart" uri="{C3380CC4-5D6E-409C-BE32-E72D297353CC}">
                <c16:uniqueId val="{0000003D-77F4-43B1-ACE1-250CC89F5321}"/>
              </c:ext>
            </c:extLst>
          </c:dPt>
          <c:dPt>
            <c:idx val="6"/>
            <c:marker>
              <c:symbol val="none"/>
            </c:marker>
            <c:bubble3D val="0"/>
            <c:spPr>
              <a:ln w="28575" cap="rnd">
                <a:solidFill>
                  <a:schemeClr val="accent3"/>
                </a:solidFill>
                <a:round/>
              </a:ln>
              <a:effectLst/>
            </c:spPr>
            <c:extLst>
              <c:ext xmlns:c16="http://schemas.microsoft.com/office/drawing/2014/chart" uri="{C3380CC4-5D6E-409C-BE32-E72D297353CC}">
                <c16:uniqueId val="{0000003F-77F4-43B1-ACE1-250CC89F5321}"/>
              </c:ext>
            </c:extLst>
          </c:dPt>
          <c:dPt>
            <c:idx val="7"/>
            <c:marker>
              <c:symbol val="none"/>
            </c:marker>
            <c:bubble3D val="0"/>
            <c:spPr>
              <a:ln w="28575" cap="rnd">
                <a:solidFill>
                  <a:schemeClr val="accent3"/>
                </a:solidFill>
                <a:round/>
              </a:ln>
              <a:effectLst/>
            </c:spPr>
            <c:extLst>
              <c:ext xmlns:c16="http://schemas.microsoft.com/office/drawing/2014/chart" uri="{C3380CC4-5D6E-409C-BE32-E72D297353CC}">
                <c16:uniqueId val="{00000041-77F4-43B1-ACE1-250CC89F5321}"/>
              </c:ext>
            </c:extLst>
          </c:dPt>
          <c:dPt>
            <c:idx val="8"/>
            <c:marker>
              <c:symbol val="none"/>
            </c:marker>
            <c:bubble3D val="0"/>
            <c:spPr>
              <a:ln w="28575" cap="rnd">
                <a:solidFill>
                  <a:schemeClr val="accent3"/>
                </a:solidFill>
                <a:round/>
              </a:ln>
              <a:effectLst/>
            </c:spPr>
            <c:extLst>
              <c:ext xmlns:c16="http://schemas.microsoft.com/office/drawing/2014/chart" uri="{C3380CC4-5D6E-409C-BE32-E72D297353CC}">
                <c16:uniqueId val="{00000043-77F4-43B1-ACE1-250CC89F5321}"/>
              </c:ext>
            </c:extLst>
          </c:dPt>
          <c:dPt>
            <c:idx val="9"/>
            <c:marker>
              <c:symbol val="none"/>
            </c:marker>
            <c:bubble3D val="0"/>
            <c:spPr>
              <a:ln w="28575" cap="rnd">
                <a:solidFill>
                  <a:schemeClr val="accent3"/>
                </a:solidFill>
                <a:round/>
              </a:ln>
              <a:effectLst/>
            </c:spPr>
            <c:extLst>
              <c:ext xmlns:c16="http://schemas.microsoft.com/office/drawing/2014/chart" uri="{C3380CC4-5D6E-409C-BE32-E72D297353CC}">
                <c16:uniqueId val="{00000045-77F4-43B1-ACE1-250CC89F5321}"/>
              </c:ext>
            </c:extLst>
          </c:dPt>
          <c:dPt>
            <c:idx val="10"/>
            <c:marker>
              <c:symbol val="none"/>
            </c:marker>
            <c:bubble3D val="0"/>
            <c:spPr>
              <a:ln w="28575" cap="rnd">
                <a:solidFill>
                  <a:schemeClr val="accent3"/>
                </a:solidFill>
                <a:round/>
              </a:ln>
              <a:effectLst/>
            </c:spPr>
            <c:extLst>
              <c:ext xmlns:c16="http://schemas.microsoft.com/office/drawing/2014/chart" uri="{C3380CC4-5D6E-409C-BE32-E72D297353CC}">
                <c16:uniqueId val="{00000047-77F4-43B1-ACE1-250CC89F5321}"/>
              </c:ext>
            </c:extLst>
          </c:dPt>
          <c:dPt>
            <c:idx val="11"/>
            <c:marker>
              <c:symbol val="none"/>
            </c:marker>
            <c:bubble3D val="0"/>
            <c:spPr>
              <a:ln w="28575" cap="rnd">
                <a:solidFill>
                  <a:schemeClr val="accent3"/>
                </a:solidFill>
                <a:round/>
              </a:ln>
              <a:effectLst/>
            </c:spPr>
            <c:extLst>
              <c:ext xmlns:c16="http://schemas.microsoft.com/office/drawing/2014/chart" uri="{C3380CC4-5D6E-409C-BE32-E72D297353CC}">
                <c16:uniqueId val="{00000049-77F4-43B1-ACE1-250CC89F5321}"/>
              </c:ext>
            </c:extLst>
          </c:dPt>
          <c:cat>
            <c:strRef>
              <c:f>Sheet1!$A$4:$A$16</c:f>
              <c:strCache>
                <c:ptCount val="12"/>
                <c:pt idx="0">
                  <c:v>Diwali</c:v>
                </c:pt>
                <c:pt idx="1">
                  <c:v>Dussehra</c:v>
                </c:pt>
                <c:pt idx="2">
                  <c:v>Ganesh Chaturthi</c:v>
                </c:pt>
                <c:pt idx="3">
                  <c:v>Holi</c:v>
                </c:pt>
                <c:pt idx="4">
                  <c:v>Independence Day Sale</c:v>
                </c:pt>
                <c:pt idx="5">
                  <c:v>Makar Sankranti</c:v>
                </c:pt>
                <c:pt idx="6">
                  <c:v>Navratri</c:v>
                </c:pt>
                <c:pt idx="7">
                  <c:v>New Year</c:v>
                </c:pt>
                <c:pt idx="8">
                  <c:v>Onam</c:v>
                </c:pt>
                <c:pt idx="9">
                  <c:v>Pongal</c:v>
                </c:pt>
                <c:pt idx="10">
                  <c:v>Republic Day Sale</c:v>
                </c:pt>
                <c:pt idx="11">
                  <c:v>Ugadi</c:v>
                </c:pt>
              </c:strCache>
            </c:strRef>
          </c:cat>
          <c:val>
            <c:numRef>
              <c:f>Sheet1!$D$4:$D$16</c:f>
              <c:numCache>
                <c:formatCode>0.0\%</c:formatCode>
                <c:ptCount val="12"/>
                <c:pt idx="0">
                  <c:v>8.7812499999999982</c:v>
                </c:pt>
                <c:pt idx="1">
                  <c:v>9.0431818181818127</c:v>
                </c:pt>
                <c:pt idx="2">
                  <c:v>8.56</c:v>
                </c:pt>
                <c:pt idx="3">
                  <c:v>9.3720930232558111</c:v>
                </c:pt>
                <c:pt idx="4">
                  <c:v>9.6186813186813165</c:v>
                </c:pt>
                <c:pt idx="5">
                  <c:v>8.7900000000000027</c:v>
                </c:pt>
                <c:pt idx="6">
                  <c:v>8.8067567567567568</c:v>
                </c:pt>
                <c:pt idx="7">
                  <c:v>9.7687500000000007</c:v>
                </c:pt>
                <c:pt idx="8">
                  <c:v>8.6278481012658261</c:v>
                </c:pt>
                <c:pt idx="9">
                  <c:v>8.2986111111111125</c:v>
                </c:pt>
                <c:pt idx="10">
                  <c:v>9.1116883116883098</c:v>
                </c:pt>
                <c:pt idx="11">
                  <c:v>8.7902439024390233</c:v>
                </c:pt>
              </c:numCache>
            </c:numRef>
          </c:val>
          <c:smooth val="0"/>
          <c:extLst>
            <c:ext xmlns:c16="http://schemas.microsoft.com/office/drawing/2014/chart" uri="{C3380CC4-5D6E-409C-BE32-E72D297353CC}">
              <c16:uniqueId val="{0000004A-77F4-43B1-ACE1-250CC89F5321}"/>
            </c:ext>
          </c:extLst>
        </c:ser>
        <c:dLbls>
          <c:showLegendKey val="0"/>
          <c:showVal val="0"/>
          <c:showCatName val="0"/>
          <c:showSerName val="0"/>
          <c:showPercent val="0"/>
          <c:showBubbleSize val="0"/>
        </c:dLbls>
        <c:smooth val="0"/>
        <c:axId val="115205743"/>
        <c:axId val="46570367"/>
      </c:lineChart>
      <c:catAx>
        <c:axId val="115205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0367"/>
        <c:crosses val="autoZero"/>
        <c:auto val="1"/>
        <c:lblAlgn val="ctr"/>
        <c:lblOffset val="100"/>
        <c:noMultiLvlLbl val="0"/>
      </c:catAx>
      <c:valAx>
        <c:axId val="4657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5743"/>
        <c:crosses val="autoZero"/>
        <c:crossBetween val="between"/>
      </c:valAx>
      <c:spPr>
        <a:noFill/>
        <a:ln>
          <a:noFill/>
        </a:ln>
        <a:effectLst/>
      </c:spPr>
    </c:plotArea>
    <c:legend>
      <c:legendPos val="r"/>
      <c:overlay val="0"/>
      <c:spPr>
        <a:solidFill>
          <a:schemeClr val="accent3"/>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[bike_showroom_dashboard_enhanced.xlsx]Exchange Bike Using Bike Model!PivotTable23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Exchange Bike Usage By Bike Model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674707526922"/>
          <c:y val="0.1934525746651142"/>
          <c:w val="0.53606958975200625"/>
          <c:h val="0.38246446906697501"/>
        </c:manualLayout>
      </c:layout>
      <c:barChart>
        <c:barDir val="col"/>
        <c:grouping val="clustered"/>
        <c:varyColors val="0"/>
        <c:ser>
          <c:idx val="0"/>
          <c:order val="0"/>
          <c:tx>
            <c:strRef>
              <c:f>'Exchange Bike Using Bike Model'!$B$3</c:f>
              <c:strCache>
                <c:ptCount val="1"/>
                <c:pt idx="0">
                  <c:v>Sum of With Exchange (Yes)</c:v>
                </c:pt>
              </c:strCache>
            </c:strRef>
          </c:tx>
          <c:spPr>
            <a:solidFill>
              <a:schemeClr val="accent1"/>
            </a:solidFill>
            <a:ln>
              <a:noFill/>
            </a:ln>
            <a:effectLst/>
          </c:spPr>
          <c:invertIfNegative val="0"/>
          <c:cat>
            <c:strRef>
              <c:f>'Exchange Bike Using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'Exchange Bike Using Bike Model'!$B$4:$B$22</c:f>
              <c:numCache>
                <c:formatCode>General</c:formatCode>
                <c:ptCount val="18"/>
                <c:pt idx="0">
                  <c:v>7</c:v>
                </c:pt>
                <c:pt idx="1">
                  <c:v>22</c:v>
                </c:pt>
                <c:pt idx="2">
                  <c:v>20</c:v>
                </c:pt>
                <c:pt idx="3">
                  <c:v>17</c:v>
                </c:pt>
                <c:pt idx="4">
                  <c:v>14</c:v>
                </c:pt>
                <c:pt idx="5">
                  <c:v>18</c:v>
                </c:pt>
                <c:pt idx="6">
                  <c:v>18</c:v>
                </c:pt>
                <c:pt idx="7">
                  <c:v>9</c:v>
                </c:pt>
                <c:pt idx="8">
                  <c:v>17</c:v>
                </c:pt>
                <c:pt idx="9">
                  <c:v>6</c:v>
                </c:pt>
                <c:pt idx="10">
                  <c:v>22</c:v>
                </c:pt>
                <c:pt idx="11">
                  <c:v>14</c:v>
                </c:pt>
                <c:pt idx="12">
                  <c:v>10</c:v>
                </c:pt>
                <c:pt idx="13">
                  <c:v>15</c:v>
                </c:pt>
                <c:pt idx="14">
                  <c:v>14</c:v>
                </c:pt>
                <c:pt idx="15">
                  <c:v>11</c:v>
                </c:pt>
                <c:pt idx="16">
                  <c:v>7</c:v>
                </c:pt>
                <c:pt idx="17">
                  <c:v>16</c:v>
                </c:pt>
              </c:numCache>
            </c:numRef>
          </c:val>
          <c:extLst>
            <c:ext xmlns:c16="http://schemas.microsoft.com/office/drawing/2014/chart" uri="{C3380CC4-5D6E-409C-BE32-E72D297353CC}">
              <c16:uniqueId val="{00000000-B260-4EC4-99A7-4B839233DBBD}"/>
            </c:ext>
          </c:extLst>
        </c:ser>
        <c:ser>
          <c:idx val="1"/>
          <c:order val="1"/>
          <c:tx>
            <c:strRef>
              <c:f>'Exchange Bike Using Bike Model'!$C$3</c:f>
              <c:strCache>
                <c:ptCount val="1"/>
                <c:pt idx="0">
                  <c:v>Sum of Without Exchange (No)</c:v>
                </c:pt>
              </c:strCache>
            </c:strRef>
          </c:tx>
          <c:spPr>
            <a:solidFill>
              <a:schemeClr val="accent2"/>
            </a:solidFill>
            <a:ln>
              <a:noFill/>
            </a:ln>
            <a:effectLst/>
          </c:spPr>
          <c:invertIfNegative val="0"/>
          <c:cat>
            <c:strRef>
              <c:f>'Exchange Bike Using Bike Model'!$A$4:$A$22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'Exchange Bike Using Bike Model'!$C$4:$C$22</c:f>
              <c:numCache>
                <c:formatCode>General</c:formatCode>
                <c:ptCount val="18"/>
                <c:pt idx="0">
                  <c:v>32</c:v>
                </c:pt>
                <c:pt idx="1">
                  <c:v>48</c:v>
                </c:pt>
                <c:pt idx="2">
                  <c:v>47</c:v>
                </c:pt>
                <c:pt idx="3">
                  <c:v>23</c:v>
                </c:pt>
                <c:pt idx="4">
                  <c:v>44</c:v>
                </c:pt>
                <c:pt idx="5">
                  <c:v>46</c:v>
                </c:pt>
                <c:pt idx="6">
                  <c:v>36</c:v>
                </c:pt>
                <c:pt idx="7">
                  <c:v>36</c:v>
                </c:pt>
                <c:pt idx="8">
                  <c:v>51</c:v>
                </c:pt>
                <c:pt idx="9">
                  <c:v>46</c:v>
                </c:pt>
                <c:pt idx="10">
                  <c:v>39</c:v>
                </c:pt>
                <c:pt idx="11">
                  <c:v>38</c:v>
                </c:pt>
                <c:pt idx="12">
                  <c:v>27</c:v>
                </c:pt>
                <c:pt idx="13">
                  <c:v>43</c:v>
                </c:pt>
                <c:pt idx="14">
                  <c:v>57</c:v>
                </c:pt>
                <c:pt idx="15">
                  <c:v>44</c:v>
                </c:pt>
                <c:pt idx="16">
                  <c:v>39</c:v>
                </c:pt>
                <c:pt idx="17">
                  <c:v>47</c:v>
                </c:pt>
              </c:numCache>
            </c:numRef>
          </c:val>
          <c:extLst>
            <c:ext xmlns:c16="http://schemas.microsoft.com/office/drawing/2014/chart" uri="{C3380CC4-5D6E-409C-BE32-E72D297353CC}">
              <c16:uniqueId val="{00000001-B260-4EC4-99A7-4B839233DBBD}"/>
            </c:ext>
          </c:extLst>
        </c:ser>
        <c:dLbls>
          <c:showLegendKey val="0"/>
          <c:showVal val="0"/>
          <c:showCatName val="0"/>
          <c:showSerName val="0"/>
          <c:showPercent val="0"/>
          <c:showBubbleSize val="0"/>
        </c:dLbls>
        <c:gapWidth val="150"/>
        <c:axId val="1370658863"/>
        <c:axId val="1382534335"/>
      </c:barChart>
      <c:catAx>
        <c:axId val="1370658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mj-lt"/>
                  </a:rPr>
                  <a:t>No.of Model</a:t>
                </a:r>
              </a:p>
            </c:rich>
          </c:tx>
          <c:layout>
            <c:manualLayout>
              <c:xMode val="edge"/>
              <c:yMode val="edge"/>
              <c:x val="0.30035349287724855"/>
              <c:y val="0.878008387445670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534335"/>
        <c:crosses val="autoZero"/>
        <c:auto val="1"/>
        <c:lblAlgn val="ctr"/>
        <c:lblOffset val="100"/>
        <c:noMultiLvlLbl val="0"/>
      </c:catAx>
      <c:valAx>
        <c:axId val="1382534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mj-lt"/>
                  </a:rPr>
                  <a:t>Bike Model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0658863"/>
        <c:crosses val="autoZero"/>
        <c:crossBetween val="between"/>
      </c:valAx>
      <c:spPr>
        <a:noFill/>
        <a:ln>
          <a:noFill/>
        </a:ln>
        <a:effectLst/>
      </c:spPr>
    </c:plotArea>
    <c:legend>
      <c:legendPos val="r"/>
      <c:layout>
        <c:manualLayout>
          <c:xMode val="edge"/>
          <c:yMode val="edge"/>
          <c:x val="0.66057391104477214"/>
          <c:y val="0.21393504162518348"/>
          <c:w val="0.27128766112897185"/>
          <c:h val="0.17301435152879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[bike_showroom_dashboard_enhanced.xlsx]Sheet16!PivotTable22</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j-lt"/>
              </a:rPr>
              <a:t>Insurance</a:t>
            </a:r>
            <a:r>
              <a:rPr lang="en-US" b="1" baseline="0">
                <a:solidFill>
                  <a:schemeClr val="tx1"/>
                </a:solidFill>
                <a:latin typeface="+mj-lt"/>
              </a:rPr>
              <a:t> Included Yes V/S No By Bike Model</a:t>
            </a:r>
            <a:endParaRPr lang="en-US" b="1">
              <a:solidFill>
                <a:schemeClr val="tx1"/>
              </a:solidFill>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02151040433079"/>
          <c:y val="0.22121396870383364"/>
          <c:w val="0.37859739040327672"/>
          <c:h val="0.60589859699946402"/>
        </c:manualLayout>
      </c:layout>
      <c:barChart>
        <c:barDir val="bar"/>
        <c:grouping val="clustered"/>
        <c:varyColors val="0"/>
        <c:ser>
          <c:idx val="0"/>
          <c:order val="0"/>
          <c:tx>
            <c:strRef>
              <c:f>Sheet16!$B$3</c:f>
              <c:strCache>
                <c:ptCount val="1"/>
                <c:pt idx="0">
                  <c:v>Sum of With Insurance (Yes)</c:v>
                </c:pt>
              </c:strCache>
            </c:strRef>
          </c:tx>
          <c:spPr>
            <a:solidFill>
              <a:schemeClr val="accent1"/>
            </a:solidFill>
            <a:ln>
              <a:noFill/>
            </a:ln>
            <a:effectLst/>
          </c:spPr>
          <c:invertIfNegative val="0"/>
          <c:cat>
            <c:strRef>
              <c:f>Sheet16!$A$4:$A$22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Sheet16!$B$4:$B$22</c:f>
              <c:numCache>
                <c:formatCode>General</c:formatCode>
                <c:ptCount val="18"/>
                <c:pt idx="0">
                  <c:v>26</c:v>
                </c:pt>
                <c:pt idx="1">
                  <c:v>49</c:v>
                </c:pt>
                <c:pt idx="2">
                  <c:v>44</c:v>
                </c:pt>
                <c:pt idx="3">
                  <c:v>25</c:v>
                </c:pt>
                <c:pt idx="4">
                  <c:v>41</c:v>
                </c:pt>
                <c:pt idx="5">
                  <c:v>34</c:v>
                </c:pt>
                <c:pt idx="6">
                  <c:v>31</c:v>
                </c:pt>
                <c:pt idx="7">
                  <c:v>21</c:v>
                </c:pt>
                <c:pt idx="8">
                  <c:v>51</c:v>
                </c:pt>
                <c:pt idx="9">
                  <c:v>34</c:v>
                </c:pt>
                <c:pt idx="10">
                  <c:v>38</c:v>
                </c:pt>
                <c:pt idx="11">
                  <c:v>32</c:v>
                </c:pt>
                <c:pt idx="12">
                  <c:v>27</c:v>
                </c:pt>
                <c:pt idx="13">
                  <c:v>41</c:v>
                </c:pt>
                <c:pt idx="14">
                  <c:v>49</c:v>
                </c:pt>
                <c:pt idx="15">
                  <c:v>38</c:v>
                </c:pt>
                <c:pt idx="16">
                  <c:v>32</c:v>
                </c:pt>
                <c:pt idx="17">
                  <c:v>39</c:v>
                </c:pt>
              </c:numCache>
            </c:numRef>
          </c:val>
          <c:extLst>
            <c:ext xmlns:c16="http://schemas.microsoft.com/office/drawing/2014/chart" uri="{C3380CC4-5D6E-409C-BE32-E72D297353CC}">
              <c16:uniqueId val="{00000000-6ADF-4D12-ADE4-D2B2791081B3}"/>
            </c:ext>
          </c:extLst>
        </c:ser>
        <c:ser>
          <c:idx val="1"/>
          <c:order val="1"/>
          <c:tx>
            <c:strRef>
              <c:f>Sheet16!$C$3</c:f>
              <c:strCache>
                <c:ptCount val="1"/>
                <c:pt idx="0">
                  <c:v>Sum of Without Insurance (No)</c:v>
                </c:pt>
              </c:strCache>
            </c:strRef>
          </c:tx>
          <c:spPr>
            <a:solidFill>
              <a:schemeClr val="accent3"/>
            </a:solidFill>
            <a:ln>
              <a:noFill/>
            </a:ln>
            <a:effectLst/>
          </c:spPr>
          <c:invertIfNegative val="0"/>
          <c:cat>
            <c:strRef>
              <c:f>Sheet16!$A$4:$A$22</c:f>
              <c:strCache>
                <c:ptCount val="18"/>
                <c:pt idx="0">
                  <c:v>Bajaj Chetak Electric</c:v>
                </c:pt>
                <c:pt idx="1">
                  <c:v>Bajaj Platina 110</c:v>
                </c:pt>
                <c:pt idx="2">
                  <c:v>Bajaj Pulsar 150</c:v>
                </c:pt>
                <c:pt idx="3">
                  <c:v>Hero Splendor Plus</c:v>
                </c:pt>
                <c:pt idx="4">
                  <c:v>Hero Xtreme 160R</c:v>
                </c:pt>
                <c:pt idx="5">
                  <c:v>Honda Activa 6G</c:v>
                </c:pt>
                <c:pt idx="6">
                  <c:v>Honda Shine</c:v>
                </c:pt>
                <c:pt idx="7">
                  <c:v>Honda Unicorn</c:v>
                </c:pt>
                <c:pt idx="8">
                  <c:v>KTM Duke 200</c:v>
                </c:pt>
                <c:pt idx="9">
                  <c:v>Ola S1 Pro</c:v>
                </c:pt>
                <c:pt idx="10">
                  <c:v>Royal Enfield Classic 350</c:v>
                </c:pt>
                <c:pt idx="11">
                  <c:v>Royal Enfield Hunter 350</c:v>
                </c:pt>
                <c:pt idx="12">
                  <c:v>Suzuki Access 125</c:v>
                </c:pt>
                <c:pt idx="13">
                  <c:v>TVS Apache RTR 160</c:v>
                </c:pt>
                <c:pt idx="14">
                  <c:v>TVS Jupiter</c:v>
                </c:pt>
                <c:pt idx="15">
                  <c:v>TVS Raider 125</c:v>
                </c:pt>
                <c:pt idx="16">
                  <c:v>Yamaha FZ-S</c:v>
                </c:pt>
                <c:pt idx="17">
                  <c:v>Yamaha MT-15</c:v>
                </c:pt>
              </c:strCache>
            </c:strRef>
          </c:cat>
          <c:val>
            <c:numRef>
              <c:f>Sheet16!$C$4:$C$22</c:f>
              <c:numCache>
                <c:formatCode>General</c:formatCode>
                <c:ptCount val="18"/>
                <c:pt idx="0">
                  <c:v>13</c:v>
                </c:pt>
                <c:pt idx="1">
                  <c:v>21</c:v>
                </c:pt>
                <c:pt idx="2">
                  <c:v>23</c:v>
                </c:pt>
                <c:pt idx="3">
                  <c:v>15</c:v>
                </c:pt>
                <c:pt idx="4">
                  <c:v>17</c:v>
                </c:pt>
                <c:pt idx="5">
                  <c:v>30</c:v>
                </c:pt>
                <c:pt idx="6">
                  <c:v>23</c:v>
                </c:pt>
                <c:pt idx="7">
                  <c:v>24</c:v>
                </c:pt>
                <c:pt idx="8">
                  <c:v>17</c:v>
                </c:pt>
                <c:pt idx="9">
                  <c:v>18</c:v>
                </c:pt>
                <c:pt idx="10">
                  <c:v>23</c:v>
                </c:pt>
                <c:pt idx="11">
                  <c:v>20</c:v>
                </c:pt>
                <c:pt idx="12">
                  <c:v>10</c:v>
                </c:pt>
                <c:pt idx="13">
                  <c:v>17</c:v>
                </c:pt>
                <c:pt idx="14">
                  <c:v>22</c:v>
                </c:pt>
                <c:pt idx="15">
                  <c:v>17</c:v>
                </c:pt>
                <c:pt idx="16">
                  <c:v>14</c:v>
                </c:pt>
                <c:pt idx="17">
                  <c:v>24</c:v>
                </c:pt>
              </c:numCache>
            </c:numRef>
          </c:val>
          <c:extLst>
            <c:ext xmlns:c16="http://schemas.microsoft.com/office/drawing/2014/chart" uri="{C3380CC4-5D6E-409C-BE32-E72D297353CC}">
              <c16:uniqueId val="{00000001-6ADF-4D12-ADE4-D2B2791081B3}"/>
            </c:ext>
          </c:extLst>
        </c:ser>
        <c:dLbls>
          <c:showLegendKey val="0"/>
          <c:showVal val="0"/>
          <c:showCatName val="0"/>
          <c:showSerName val="0"/>
          <c:showPercent val="0"/>
          <c:showBubbleSize val="0"/>
        </c:dLbls>
        <c:gapWidth val="182"/>
        <c:axId val="1566700175"/>
        <c:axId val="1382518975"/>
      </c:barChart>
      <c:catAx>
        <c:axId val="15667001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mj-lt"/>
                  </a:rPr>
                  <a:t>No.of Model</a:t>
                </a:r>
              </a:p>
            </c:rich>
          </c:tx>
          <c:layout>
            <c:manualLayout>
              <c:xMode val="edge"/>
              <c:yMode val="edge"/>
              <c:x val="9.9127452967869206E-2"/>
              <c:y val="0.27060360128875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518975"/>
        <c:crosses val="autoZero"/>
        <c:auto val="1"/>
        <c:lblAlgn val="ctr"/>
        <c:lblOffset val="100"/>
        <c:noMultiLvlLbl val="0"/>
      </c:catAx>
      <c:valAx>
        <c:axId val="1382518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mj-lt"/>
                  </a:rPr>
                  <a:t>Bike Model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700175"/>
        <c:crosses val="autoZero"/>
        <c:crossBetween val="between"/>
      </c:valAx>
      <c:spPr>
        <a:noFill/>
        <a:ln>
          <a:noFill/>
        </a:ln>
        <a:effectLst/>
      </c:spPr>
    </c:plotArea>
    <c:legend>
      <c:legendPos val="r"/>
      <c:layout>
        <c:manualLayout>
          <c:xMode val="edge"/>
          <c:yMode val="edge"/>
          <c:x val="0.76866990151719139"/>
          <c:y val="0.24331500475633347"/>
          <c:w val="0.20901126172350878"/>
          <c:h val="0.14833978317312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mj-lt"/>
              </a:rPr>
              <a:t>Fina Price Distribution(Histrogram</a:t>
            </a:r>
            <a:r>
              <a:rPr lang="en-US" sz="1400" b="0" i="0" u="none" strike="noStrike" baseline="0">
                <a:solidFill>
                  <a:srgbClr val="000000">
                    <a:lumMod val="65000"/>
                    <a:lumOff val="35000"/>
                  </a:srgbClr>
                </a:solidFill>
                <a:latin typeface="Calibri"/>
              </a:rPr>
              <a:t>)</a:t>
            </a:r>
          </a:p>
        </cx:rich>
      </cx:tx>
    </cx:title>
    <cx:plotArea>
      <cx:plotAreaRegion>
        <cx:series layoutId="clusteredColumn" uniqueId="{00000000-952E-4C6C-9AAF-73BF54E773B8}">
          <cx:tx>
            <cx:txData>
              <cx:f>_xlchart.v1.4</cx:f>
              <cx:v>Sum of No. of Sales</cx:v>
            </cx:txData>
          </cx:tx>
          <cx:dataId val="0"/>
          <cx:layoutPr>
            <cx:aggregation/>
          </cx:layoutPr>
          <cx:axisId val="1"/>
        </cx:series>
        <cx:series layoutId="paretoLine" ownerIdx="0" uniqueId="{A13443C5-0B85-40DB-9268-FBAE360F9C1C}">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496957</xdr:colOff>
      <xdr:row>13</xdr:row>
      <xdr:rowOff>165652</xdr:rowOff>
    </xdr:from>
    <xdr:to>
      <xdr:col>16</xdr:col>
      <xdr:colOff>86326</xdr:colOff>
      <xdr:row>30</xdr:row>
      <xdr:rowOff>59190</xdr:rowOff>
    </xdr:to>
    <xdr:graphicFrame macro="">
      <xdr:nvGraphicFramePr>
        <xdr:cNvPr id="2" name="Chart 1">
          <a:extLst>
            <a:ext uri="{FF2B5EF4-FFF2-40B4-BE49-F238E27FC236}">
              <a16:creationId xmlns:a16="http://schemas.microsoft.com/office/drawing/2014/main" id="{CE756EDE-6E4E-43AF-9255-9D89D3050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496957</xdr:colOff>
      <xdr:row>13</xdr:row>
      <xdr:rowOff>115958</xdr:rowOff>
    </xdr:from>
    <xdr:to>
      <xdr:col>29</xdr:col>
      <xdr:colOff>149088</xdr:colOff>
      <xdr:row>30</xdr:row>
      <xdr:rowOff>66262</xdr:rowOff>
    </xdr:to>
    <xdr:graphicFrame macro="">
      <xdr:nvGraphicFramePr>
        <xdr:cNvPr id="3" name="Chart 2">
          <a:extLst>
            <a:ext uri="{FF2B5EF4-FFF2-40B4-BE49-F238E27FC236}">
              <a16:creationId xmlns:a16="http://schemas.microsoft.com/office/drawing/2014/main" id="{25393BD7-DC70-4337-80E5-DFDABB9DD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414132</xdr:colOff>
      <xdr:row>13</xdr:row>
      <xdr:rowOff>33131</xdr:rowOff>
    </xdr:from>
    <xdr:to>
      <xdr:col>42</xdr:col>
      <xdr:colOff>215348</xdr:colOff>
      <xdr:row>30</xdr:row>
      <xdr:rowOff>173930</xdr:rowOff>
    </xdr:to>
    <xdr:graphicFrame macro="">
      <xdr:nvGraphicFramePr>
        <xdr:cNvPr id="4" name="Chart 3">
          <a:extLst>
            <a:ext uri="{FF2B5EF4-FFF2-40B4-BE49-F238E27FC236}">
              <a16:creationId xmlns:a16="http://schemas.microsoft.com/office/drawing/2014/main" id="{F1BF36FF-E000-4A4C-829D-27F22918B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44</xdr:col>
      <xdr:colOff>265043</xdr:colOff>
      <xdr:row>13</xdr:row>
      <xdr:rowOff>149087</xdr:rowOff>
    </xdr:from>
    <xdr:to>
      <xdr:col>54</xdr:col>
      <xdr:colOff>339463</xdr:colOff>
      <xdr:row>30</xdr:row>
      <xdr:rowOff>80145</xdr:rowOff>
    </xdr:to>
    <xdr:graphicFrame macro="">
      <xdr:nvGraphicFramePr>
        <xdr:cNvPr id="5" name="Chart 4">
          <a:extLst>
            <a:ext uri="{FF2B5EF4-FFF2-40B4-BE49-F238E27FC236}">
              <a16:creationId xmlns:a16="http://schemas.microsoft.com/office/drawing/2014/main" id="{BD58CD51-B46B-475C-A7A0-B37C5BABF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430696</xdr:colOff>
      <xdr:row>40</xdr:row>
      <xdr:rowOff>49697</xdr:rowOff>
    </xdr:from>
    <xdr:to>
      <xdr:col>16</xdr:col>
      <xdr:colOff>165651</xdr:colOff>
      <xdr:row>57</xdr:row>
      <xdr:rowOff>63170</xdr:rowOff>
    </xdr:to>
    <xdr:graphicFrame macro="">
      <xdr:nvGraphicFramePr>
        <xdr:cNvPr id="6" name="Chart 5">
          <a:extLst>
            <a:ext uri="{FF2B5EF4-FFF2-40B4-BE49-F238E27FC236}">
              <a16:creationId xmlns:a16="http://schemas.microsoft.com/office/drawing/2014/main" id="{5E0F5CB4-1BA0-48D1-803A-6A0B43738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281608</xdr:colOff>
      <xdr:row>40</xdr:row>
      <xdr:rowOff>49697</xdr:rowOff>
    </xdr:from>
    <xdr:to>
      <xdr:col>29</xdr:col>
      <xdr:colOff>165652</xdr:colOff>
      <xdr:row>57</xdr:row>
      <xdr:rowOff>81829</xdr:rowOff>
    </xdr:to>
    <xdr:graphicFrame macro="">
      <xdr:nvGraphicFramePr>
        <xdr:cNvPr id="7" name="Chart 6">
          <a:extLst>
            <a:ext uri="{FF2B5EF4-FFF2-40B4-BE49-F238E27FC236}">
              <a16:creationId xmlns:a16="http://schemas.microsoft.com/office/drawing/2014/main" id="{1572EA96-218C-481A-B38B-1CDFFF3F1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430696</xdr:colOff>
      <xdr:row>40</xdr:row>
      <xdr:rowOff>33131</xdr:rowOff>
    </xdr:from>
    <xdr:to>
      <xdr:col>42</xdr:col>
      <xdr:colOff>298173</xdr:colOff>
      <xdr:row>57</xdr:row>
      <xdr:rowOff>111120</xdr:rowOff>
    </xdr:to>
    <xdr:graphicFrame macro="">
      <xdr:nvGraphicFramePr>
        <xdr:cNvPr id="8" name="Chart 7">
          <a:extLst>
            <a:ext uri="{FF2B5EF4-FFF2-40B4-BE49-F238E27FC236}">
              <a16:creationId xmlns:a16="http://schemas.microsoft.com/office/drawing/2014/main" id="{EEB2BDAF-E13E-4070-8D52-69C5C11E7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44</xdr:col>
      <xdr:colOff>281609</xdr:colOff>
      <xdr:row>40</xdr:row>
      <xdr:rowOff>99391</xdr:rowOff>
    </xdr:from>
    <xdr:to>
      <xdr:col>54</xdr:col>
      <xdr:colOff>330268</xdr:colOff>
      <xdr:row>57</xdr:row>
      <xdr:rowOff>172035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3E67A58-ECBD-47D2-8AEE-EE6B0506EC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7249783" y="8133521"/>
              <a:ext cx="6177789" cy="31703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447262</xdr:colOff>
      <xdr:row>66</xdr:row>
      <xdr:rowOff>33130</xdr:rowOff>
    </xdr:from>
    <xdr:to>
      <xdr:col>16</xdr:col>
      <xdr:colOff>265044</xdr:colOff>
      <xdr:row>84</xdr:row>
      <xdr:rowOff>92604</xdr:rowOff>
    </xdr:to>
    <xdr:graphicFrame macro="">
      <xdr:nvGraphicFramePr>
        <xdr:cNvPr id="10" name="Chart 9">
          <a:extLst>
            <a:ext uri="{FF2B5EF4-FFF2-40B4-BE49-F238E27FC236}">
              <a16:creationId xmlns:a16="http://schemas.microsoft.com/office/drawing/2014/main" id="{F4813523-6155-4AA6-AE01-C741D8BF6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364435</xdr:colOff>
      <xdr:row>66</xdr:row>
      <xdr:rowOff>99390</xdr:rowOff>
    </xdr:from>
    <xdr:to>
      <xdr:col>29</xdr:col>
      <xdr:colOff>265044</xdr:colOff>
      <xdr:row>84</xdr:row>
      <xdr:rowOff>13124</xdr:rowOff>
    </xdr:to>
    <xdr:graphicFrame macro="">
      <xdr:nvGraphicFramePr>
        <xdr:cNvPr id="11" name="Chart 10">
          <a:extLst>
            <a:ext uri="{FF2B5EF4-FFF2-40B4-BE49-F238E27FC236}">
              <a16:creationId xmlns:a16="http://schemas.microsoft.com/office/drawing/2014/main" id="{17074B5E-A7CA-4B73-94B1-B4CC9FBF0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60</xdr:col>
      <xdr:colOff>124408</xdr:colOff>
      <xdr:row>12</xdr:row>
      <xdr:rowOff>171060</xdr:rowOff>
    </xdr:from>
    <xdr:to>
      <xdr:col>64</xdr:col>
      <xdr:colOff>447572</xdr:colOff>
      <xdr:row>18</xdr:row>
      <xdr:rowOff>15550</xdr:rowOff>
    </xdr:to>
    <mc:AlternateContent xmlns:mc="http://schemas.openxmlformats.org/markup-compatibility/2006">
      <mc:Choice xmlns:a14="http://schemas.microsoft.com/office/drawing/2010/main" Requires="a14">
        <xdr:graphicFrame macro="">
          <xdr:nvGraphicFramePr>
            <xdr:cNvPr id="13" name="Festival 3">
              <a:extLst>
                <a:ext uri="{FF2B5EF4-FFF2-40B4-BE49-F238E27FC236}">
                  <a16:creationId xmlns:a16="http://schemas.microsoft.com/office/drawing/2014/main" id="{1EE49F06-B77C-4029-9419-D5D0993563FF}"/>
                </a:ext>
              </a:extLst>
            </xdr:cNvPr>
            <xdr:cNvGraphicFramePr/>
          </xdr:nvGraphicFramePr>
          <xdr:xfrm>
            <a:off x="0" y="0"/>
            <a:ext cx="0" cy="0"/>
          </xdr:xfrm>
          <a:graphic>
            <a:graphicData uri="http://schemas.microsoft.com/office/drawing/2010/slicer">
              <sle:slicer xmlns:sle="http://schemas.microsoft.com/office/drawing/2010/slicer" name="Festival 3"/>
            </a:graphicData>
          </a:graphic>
        </xdr:graphicFrame>
      </mc:Choice>
      <mc:Fallback>
        <xdr:sp macro="" textlink="">
          <xdr:nvSpPr>
            <xdr:cNvPr id="0" name=""/>
            <xdr:cNvSpPr>
              <a:spLocks noTextEdit="1"/>
            </xdr:cNvSpPr>
          </xdr:nvSpPr>
          <xdr:spPr>
            <a:xfrm>
              <a:off x="36995376" y="2973254"/>
              <a:ext cx="2781228" cy="901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186612</xdr:colOff>
      <xdr:row>13</xdr:row>
      <xdr:rowOff>15551</xdr:rowOff>
    </xdr:from>
    <xdr:to>
      <xdr:col>70</xdr:col>
      <xdr:colOff>473868</xdr:colOff>
      <xdr:row>18</xdr:row>
      <xdr:rowOff>62204</xdr:rowOff>
    </xdr:to>
    <mc:AlternateContent xmlns:mc="http://schemas.openxmlformats.org/markup-compatibility/2006">
      <mc:Choice xmlns:a14="http://schemas.microsoft.com/office/drawing/2010/main" Requires="a14">
        <xdr:graphicFrame macro="">
          <xdr:nvGraphicFramePr>
            <xdr:cNvPr id="14" name="Branch 3">
              <a:extLst>
                <a:ext uri="{FF2B5EF4-FFF2-40B4-BE49-F238E27FC236}">
                  <a16:creationId xmlns:a16="http://schemas.microsoft.com/office/drawing/2014/main" id="{38146F0C-6FCC-462E-AE88-07D23ACDA6C5}"/>
                </a:ext>
              </a:extLst>
            </xdr:cNvPr>
            <xdr:cNvGraphicFramePr/>
          </xdr:nvGraphicFramePr>
          <xdr:xfrm>
            <a:off x="0" y="0"/>
            <a:ext cx="0" cy="0"/>
          </xdr:xfrm>
          <a:graphic>
            <a:graphicData uri="http://schemas.microsoft.com/office/drawing/2010/slicer">
              <sle:slicer xmlns:sle="http://schemas.microsoft.com/office/drawing/2010/slicer" name="Branch 3"/>
            </a:graphicData>
          </a:graphic>
        </xdr:graphicFrame>
      </mc:Choice>
      <mc:Fallback>
        <xdr:sp macro="" textlink="">
          <xdr:nvSpPr>
            <xdr:cNvPr id="0" name=""/>
            <xdr:cNvSpPr>
              <a:spLocks noTextEdit="1"/>
            </xdr:cNvSpPr>
          </xdr:nvSpPr>
          <xdr:spPr>
            <a:xfrm>
              <a:off x="40744677" y="3014390"/>
              <a:ext cx="2745320" cy="90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202163</xdr:colOff>
      <xdr:row>22</xdr:row>
      <xdr:rowOff>155510</xdr:rowOff>
    </xdr:from>
    <xdr:to>
      <xdr:col>64</xdr:col>
      <xdr:colOff>483559</xdr:colOff>
      <xdr:row>28</xdr:row>
      <xdr:rowOff>0</xdr:rowOff>
    </xdr:to>
    <mc:AlternateContent xmlns:mc="http://schemas.openxmlformats.org/markup-compatibility/2006">
      <mc:Choice xmlns:a14="http://schemas.microsoft.com/office/drawing/2010/main" Requires="a14">
        <xdr:graphicFrame macro="">
          <xdr:nvGraphicFramePr>
            <xdr:cNvPr id="15" name="Bike Model 6">
              <a:extLst>
                <a:ext uri="{FF2B5EF4-FFF2-40B4-BE49-F238E27FC236}">
                  <a16:creationId xmlns:a16="http://schemas.microsoft.com/office/drawing/2014/main" id="{AAC6D184-8281-469A-A38E-10E74116D85A}"/>
                </a:ext>
              </a:extLst>
            </xdr:cNvPr>
            <xdr:cNvGraphicFramePr/>
          </xdr:nvGraphicFramePr>
          <xdr:xfrm>
            <a:off x="0" y="0"/>
            <a:ext cx="0" cy="0"/>
          </xdr:xfrm>
          <a:graphic>
            <a:graphicData uri="http://schemas.microsoft.com/office/drawing/2010/slicer">
              <sle:slicer xmlns:sle="http://schemas.microsoft.com/office/drawing/2010/slicer" name="Bike Model 6"/>
            </a:graphicData>
          </a:graphic>
        </xdr:graphicFrame>
      </mc:Choice>
      <mc:Fallback>
        <xdr:sp macro="" textlink="">
          <xdr:nvSpPr>
            <xdr:cNvPr id="0" name=""/>
            <xdr:cNvSpPr>
              <a:spLocks noTextEdit="1"/>
            </xdr:cNvSpPr>
          </xdr:nvSpPr>
          <xdr:spPr>
            <a:xfrm>
              <a:off x="37073131" y="4702929"/>
              <a:ext cx="2739460" cy="876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175846</xdr:colOff>
      <xdr:row>22</xdr:row>
      <xdr:rowOff>156307</xdr:rowOff>
    </xdr:from>
    <xdr:to>
      <xdr:col>70</xdr:col>
      <xdr:colOff>463243</xdr:colOff>
      <xdr:row>28</xdr:row>
      <xdr:rowOff>31637</xdr:rowOff>
    </xdr:to>
    <mc:AlternateContent xmlns:mc="http://schemas.openxmlformats.org/markup-compatibility/2006">
      <mc:Choice xmlns:a14="http://schemas.microsoft.com/office/drawing/2010/main" Requires="a14">
        <xdr:graphicFrame macro="">
          <xdr:nvGraphicFramePr>
            <xdr:cNvPr id="16" name="Category 3">
              <a:extLst>
                <a:ext uri="{FF2B5EF4-FFF2-40B4-BE49-F238E27FC236}">
                  <a16:creationId xmlns:a16="http://schemas.microsoft.com/office/drawing/2014/main" id="{E439689E-047A-4FD4-9280-9FC4EBB25F14}"/>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40733911" y="4703726"/>
              <a:ext cx="2745461" cy="907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121228</xdr:colOff>
      <xdr:row>33</xdr:row>
      <xdr:rowOff>17318</xdr:rowOff>
    </xdr:from>
    <xdr:to>
      <xdr:col>64</xdr:col>
      <xdr:colOff>400990</xdr:colOff>
      <xdr:row>38</xdr:row>
      <xdr:rowOff>1277</xdr:rowOff>
    </xdr:to>
    <mc:AlternateContent xmlns:mc="http://schemas.openxmlformats.org/markup-compatibility/2006">
      <mc:Choice xmlns:a14="http://schemas.microsoft.com/office/drawing/2010/main" Requires="a14">
        <xdr:graphicFrame macro="">
          <xdr:nvGraphicFramePr>
            <xdr:cNvPr id="17" name="Price Range 4">
              <a:extLst>
                <a:ext uri="{FF2B5EF4-FFF2-40B4-BE49-F238E27FC236}">
                  <a16:creationId xmlns:a16="http://schemas.microsoft.com/office/drawing/2014/main" id="{3B358D52-A338-4D3F-8941-5218E6C87A3F}"/>
                </a:ext>
              </a:extLst>
            </xdr:cNvPr>
            <xdr:cNvGraphicFramePr/>
          </xdr:nvGraphicFramePr>
          <xdr:xfrm>
            <a:off x="0" y="0"/>
            <a:ext cx="0" cy="0"/>
          </xdr:xfrm>
          <a:graphic>
            <a:graphicData uri="http://schemas.microsoft.com/office/drawing/2010/slicer">
              <sle:slicer xmlns:sle="http://schemas.microsoft.com/office/drawing/2010/slicer" name="Price Range 4"/>
            </a:graphicData>
          </a:graphic>
        </xdr:graphicFrame>
      </mc:Choice>
      <mc:Fallback>
        <xdr:sp macro="" textlink="">
          <xdr:nvSpPr>
            <xdr:cNvPr id="0" name=""/>
            <xdr:cNvSpPr>
              <a:spLocks noTextEdit="1"/>
            </xdr:cNvSpPr>
          </xdr:nvSpPr>
          <xdr:spPr>
            <a:xfrm>
              <a:off x="36992196" y="6506608"/>
              <a:ext cx="2737826" cy="8442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173182</xdr:colOff>
      <xdr:row>33</xdr:row>
      <xdr:rowOff>17319</xdr:rowOff>
    </xdr:from>
    <xdr:to>
      <xdr:col>70</xdr:col>
      <xdr:colOff>467603</xdr:colOff>
      <xdr:row>38</xdr:row>
      <xdr:rowOff>5783</xdr:rowOff>
    </xdr:to>
    <mc:AlternateContent xmlns:mc="http://schemas.openxmlformats.org/markup-compatibility/2006">
      <mc:Choice xmlns:a14="http://schemas.microsoft.com/office/drawing/2010/main" Requires="a14">
        <xdr:graphicFrame macro="">
          <xdr:nvGraphicFramePr>
            <xdr:cNvPr id="18" name="Delivery Status 3">
              <a:extLst>
                <a:ext uri="{FF2B5EF4-FFF2-40B4-BE49-F238E27FC236}">
                  <a16:creationId xmlns:a16="http://schemas.microsoft.com/office/drawing/2014/main" id="{CDF4DA1A-0608-4223-BAD8-6E2546A7F516}"/>
                </a:ext>
              </a:extLst>
            </xdr:cNvPr>
            <xdr:cNvGraphicFramePr/>
          </xdr:nvGraphicFramePr>
          <xdr:xfrm>
            <a:off x="0" y="0"/>
            <a:ext cx="0" cy="0"/>
          </xdr:xfrm>
          <a:graphic>
            <a:graphicData uri="http://schemas.microsoft.com/office/drawing/2010/slicer">
              <sle:slicer xmlns:sle="http://schemas.microsoft.com/office/drawing/2010/slicer" name="Delivery Status 3"/>
            </a:graphicData>
          </a:graphic>
        </xdr:graphicFrame>
      </mc:Choice>
      <mc:Fallback>
        <xdr:sp macro="" textlink="">
          <xdr:nvSpPr>
            <xdr:cNvPr id="0" name=""/>
            <xdr:cNvSpPr>
              <a:spLocks noTextEdit="1"/>
            </xdr:cNvSpPr>
          </xdr:nvSpPr>
          <xdr:spPr>
            <a:xfrm>
              <a:off x="40731247" y="6506609"/>
              <a:ext cx="2752485" cy="848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173182</xdr:colOff>
      <xdr:row>43</xdr:row>
      <xdr:rowOff>121227</xdr:rowOff>
    </xdr:from>
    <xdr:to>
      <xdr:col>64</xdr:col>
      <xdr:colOff>461743</xdr:colOff>
      <xdr:row>48</xdr:row>
      <xdr:rowOff>100981</xdr:rowOff>
    </xdr:to>
    <mc:AlternateContent xmlns:mc="http://schemas.openxmlformats.org/markup-compatibility/2006">
      <mc:Choice xmlns:a14="http://schemas.microsoft.com/office/drawing/2010/main" Requires="a14">
        <xdr:graphicFrame macro="">
          <xdr:nvGraphicFramePr>
            <xdr:cNvPr id="19" name="Festival 5">
              <a:extLst>
                <a:ext uri="{FF2B5EF4-FFF2-40B4-BE49-F238E27FC236}">
                  <a16:creationId xmlns:a16="http://schemas.microsoft.com/office/drawing/2014/main" id="{DB794AF4-1FE3-4297-BE13-1497061B311B}"/>
                </a:ext>
              </a:extLst>
            </xdr:cNvPr>
            <xdr:cNvGraphicFramePr/>
          </xdr:nvGraphicFramePr>
          <xdr:xfrm>
            <a:off x="0" y="0"/>
            <a:ext cx="0" cy="0"/>
          </xdr:xfrm>
          <a:graphic>
            <a:graphicData uri="http://schemas.microsoft.com/office/drawing/2010/slicer">
              <sle:slicer xmlns:sle="http://schemas.microsoft.com/office/drawing/2010/slicer" name="Festival 5"/>
            </a:graphicData>
          </a:graphic>
        </xdr:graphicFrame>
      </mc:Choice>
      <mc:Fallback>
        <xdr:sp macro="" textlink="">
          <xdr:nvSpPr>
            <xdr:cNvPr id="0" name=""/>
            <xdr:cNvSpPr>
              <a:spLocks noTextEdit="1"/>
            </xdr:cNvSpPr>
          </xdr:nvSpPr>
          <xdr:spPr>
            <a:xfrm>
              <a:off x="37044150" y="8331162"/>
              <a:ext cx="2746625" cy="840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190500</xdr:colOff>
      <xdr:row>43</xdr:row>
      <xdr:rowOff>155864</xdr:rowOff>
    </xdr:from>
    <xdr:to>
      <xdr:col>70</xdr:col>
      <xdr:colOff>483598</xdr:colOff>
      <xdr:row>48</xdr:row>
      <xdr:rowOff>135935</xdr:rowOff>
    </xdr:to>
    <mc:AlternateContent xmlns:mc="http://schemas.openxmlformats.org/markup-compatibility/2006">
      <mc:Choice xmlns:a14="http://schemas.microsoft.com/office/drawing/2010/main" Requires="a14">
        <xdr:graphicFrame macro="">
          <xdr:nvGraphicFramePr>
            <xdr:cNvPr id="20" name="Bike Model 7">
              <a:extLst>
                <a:ext uri="{FF2B5EF4-FFF2-40B4-BE49-F238E27FC236}">
                  <a16:creationId xmlns:a16="http://schemas.microsoft.com/office/drawing/2014/main" id="{75FA7461-9F9C-4386-9E64-196DC300E598}"/>
                </a:ext>
              </a:extLst>
            </xdr:cNvPr>
            <xdr:cNvGraphicFramePr/>
          </xdr:nvGraphicFramePr>
          <xdr:xfrm>
            <a:off x="0" y="0"/>
            <a:ext cx="0" cy="0"/>
          </xdr:xfrm>
          <a:graphic>
            <a:graphicData uri="http://schemas.microsoft.com/office/drawing/2010/slicer">
              <sle:slicer xmlns:sle="http://schemas.microsoft.com/office/drawing/2010/slicer" name="Bike Model 7"/>
            </a:graphicData>
          </a:graphic>
        </xdr:graphicFrame>
      </mc:Choice>
      <mc:Fallback>
        <xdr:sp macro="" textlink="">
          <xdr:nvSpPr>
            <xdr:cNvPr id="0" name=""/>
            <xdr:cNvSpPr>
              <a:spLocks noTextEdit="1"/>
            </xdr:cNvSpPr>
          </xdr:nvSpPr>
          <xdr:spPr>
            <a:xfrm>
              <a:off x="40748565" y="8365799"/>
              <a:ext cx="2751162" cy="840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155864</xdr:colOff>
      <xdr:row>54</xdr:row>
      <xdr:rowOff>17319</xdr:rowOff>
    </xdr:from>
    <xdr:to>
      <xdr:col>64</xdr:col>
      <xdr:colOff>449198</xdr:colOff>
      <xdr:row>59</xdr:row>
      <xdr:rowOff>4191</xdr:rowOff>
    </xdr:to>
    <mc:AlternateContent xmlns:mc="http://schemas.openxmlformats.org/markup-compatibility/2006">
      <mc:Choice xmlns:a14="http://schemas.microsoft.com/office/drawing/2010/main" Requires="a14">
        <xdr:graphicFrame macro="">
          <xdr:nvGraphicFramePr>
            <xdr:cNvPr id="21" name="Price Range 6">
              <a:extLst>
                <a:ext uri="{FF2B5EF4-FFF2-40B4-BE49-F238E27FC236}">
                  <a16:creationId xmlns:a16="http://schemas.microsoft.com/office/drawing/2014/main" id="{6DB6DF11-5A99-4290-AD51-98AEA7513500}"/>
                </a:ext>
              </a:extLst>
            </xdr:cNvPr>
            <xdr:cNvGraphicFramePr/>
          </xdr:nvGraphicFramePr>
          <xdr:xfrm>
            <a:off x="0" y="0"/>
            <a:ext cx="0" cy="0"/>
          </xdr:xfrm>
          <a:graphic>
            <a:graphicData uri="http://schemas.microsoft.com/office/drawing/2010/slicer">
              <sle:slicer xmlns:sle="http://schemas.microsoft.com/office/drawing/2010/slicer" name="Price Range 6"/>
            </a:graphicData>
          </a:graphic>
        </xdr:graphicFrame>
      </mc:Choice>
      <mc:Fallback>
        <xdr:sp macro="" textlink="">
          <xdr:nvSpPr>
            <xdr:cNvPr id="0" name=""/>
            <xdr:cNvSpPr>
              <a:spLocks noTextEdit="1"/>
            </xdr:cNvSpPr>
          </xdr:nvSpPr>
          <xdr:spPr>
            <a:xfrm>
              <a:off x="37026832" y="10119964"/>
              <a:ext cx="2751398" cy="847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207818</xdr:colOff>
      <xdr:row>54</xdr:row>
      <xdr:rowOff>51955</xdr:rowOff>
    </xdr:from>
    <xdr:to>
      <xdr:col>70</xdr:col>
      <xdr:colOff>502238</xdr:colOff>
      <xdr:row>59</xdr:row>
      <xdr:rowOff>17056</xdr:rowOff>
    </xdr:to>
    <mc:AlternateContent xmlns:mc="http://schemas.openxmlformats.org/markup-compatibility/2006">
      <mc:Choice xmlns:a14="http://schemas.microsoft.com/office/drawing/2010/main" Requires="a14">
        <xdr:graphicFrame macro="">
          <xdr:nvGraphicFramePr>
            <xdr:cNvPr id="22" name="Bike Model 8">
              <a:extLst>
                <a:ext uri="{FF2B5EF4-FFF2-40B4-BE49-F238E27FC236}">
                  <a16:creationId xmlns:a16="http://schemas.microsoft.com/office/drawing/2014/main" id="{3879D91A-AEE4-4661-B077-71AEEA392345}"/>
                </a:ext>
              </a:extLst>
            </xdr:cNvPr>
            <xdr:cNvGraphicFramePr/>
          </xdr:nvGraphicFramePr>
          <xdr:xfrm>
            <a:off x="0" y="0"/>
            <a:ext cx="0" cy="0"/>
          </xdr:xfrm>
          <a:graphic>
            <a:graphicData uri="http://schemas.microsoft.com/office/drawing/2010/slicer">
              <sle:slicer xmlns:sle="http://schemas.microsoft.com/office/drawing/2010/slicer" name="Bike Model 8"/>
            </a:graphicData>
          </a:graphic>
        </xdr:graphicFrame>
      </mc:Choice>
      <mc:Fallback>
        <xdr:sp macro="" textlink="">
          <xdr:nvSpPr>
            <xdr:cNvPr id="0" name=""/>
            <xdr:cNvSpPr>
              <a:spLocks noTextEdit="1"/>
            </xdr:cNvSpPr>
          </xdr:nvSpPr>
          <xdr:spPr>
            <a:xfrm>
              <a:off x="40765883" y="10154600"/>
              <a:ext cx="2752484" cy="825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207819</xdr:colOff>
      <xdr:row>64</xdr:row>
      <xdr:rowOff>17319</xdr:rowOff>
    </xdr:from>
    <xdr:to>
      <xdr:col>64</xdr:col>
      <xdr:colOff>504201</xdr:colOff>
      <xdr:row>69</xdr:row>
      <xdr:rowOff>1279</xdr:rowOff>
    </xdr:to>
    <mc:AlternateContent xmlns:mc="http://schemas.openxmlformats.org/markup-compatibility/2006">
      <mc:Choice xmlns:a14="http://schemas.microsoft.com/office/drawing/2010/main" Requires="a14">
        <xdr:graphicFrame macro="">
          <xdr:nvGraphicFramePr>
            <xdr:cNvPr id="23" name="Bike Model 9">
              <a:extLst>
                <a:ext uri="{FF2B5EF4-FFF2-40B4-BE49-F238E27FC236}">
                  <a16:creationId xmlns:a16="http://schemas.microsoft.com/office/drawing/2014/main" id="{B8CD7295-DEF8-4ECE-B95C-11D4E94CE6B2}"/>
                </a:ext>
              </a:extLst>
            </xdr:cNvPr>
            <xdr:cNvGraphicFramePr/>
          </xdr:nvGraphicFramePr>
          <xdr:xfrm>
            <a:off x="0" y="0"/>
            <a:ext cx="0" cy="0"/>
          </xdr:xfrm>
          <a:graphic>
            <a:graphicData uri="http://schemas.microsoft.com/office/drawing/2010/slicer">
              <sle:slicer xmlns:sle="http://schemas.microsoft.com/office/drawing/2010/slicer" name="Bike Model 9"/>
            </a:graphicData>
          </a:graphic>
        </xdr:graphicFrame>
      </mc:Choice>
      <mc:Fallback>
        <xdr:sp macro="" textlink="">
          <xdr:nvSpPr>
            <xdr:cNvPr id="0" name=""/>
            <xdr:cNvSpPr>
              <a:spLocks noTextEdit="1"/>
            </xdr:cNvSpPr>
          </xdr:nvSpPr>
          <xdr:spPr>
            <a:xfrm>
              <a:off x="37078787" y="11840609"/>
              <a:ext cx="2754446" cy="844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66</xdr:col>
      <xdr:colOff>207818</xdr:colOff>
      <xdr:row>64</xdr:row>
      <xdr:rowOff>34636</xdr:rowOff>
    </xdr:from>
    <xdr:to>
      <xdr:col>70</xdr:col>
      <xdr:colOff>507012</xdr:colOff>
      <xdr:row>69</xdr:row>
      <xdr:rowOff>14490</xdr:rowOff>
    </xdr:to>
    <mc:AlternateContent xmlns:mc="http://schemas.openxmlformats.org/markup-compatibility/2006">
      <mc:Choice xmlns:a14="http://schemas.microsoft.com/office/drawing/2010/main" Requires="a14">
        <xdr:graphicFrame macro="">
          <xdr:nvGraphicFramePr>
            <xdr:cNvPr id="24" name="Bike Model 10">
              <a:extLst>
                <a:ext uri="{FF2B5EF4-FFF2-40B4-BE49-F238E27FC236}">
                  <a16:creationId xmlns:a16="http://schemas.microsoft.com/office/drawing/2014/main" id="{FC228117-6964-415F-BDCB-806F3F588AC7}"/>
                </a:ext>
              </a:extLst>
            </xdr:cNvPr>
            <xdr:cNvGraphicFramePr/>
          </xdr:nvGraphicFramePr>
          <xdr:xfrm>
            <a:off x="0" y="0"/>
            <a:ext cx="0" cy="0"/>
          </xdr:xfrm>
          <a:graphic>
            <a:graphicData uri="http://schemas.microsoft.com/office/drawing/2010/slicer">
              <sle:slicer xmlns:sle="http://schemas.microsoft.com/office/drawing/2010/slicer" name="Bike Model 10"/>
            </a:graphicData>
          </a:graphic>
        </xdr:graphicFrame>
      </mc:Choice>
      <mc:Fallback>
        <xdr:sp macro="" textlink="">
          <xdr:nvSpPr>
            <xdr:cNvPr id="0" name=""/>
            <xdr:cNvSpPr>
              <a:spLocks noTextEdit="1"/>
            </xdr:cNvSpPr>
          </xdr:nvSpPr>
          <xdr:spPr>
            <a:xfrm>
              <a:off x="40765883" y="11857926"/>
              <a:ext cx="2757258" cy="840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533400</xdr:colOff>
      <xdr:row>2</xdr:row>
      <xdr:rowOff>99060</xdr:rowOff>
    </xdr:from>
    <xdr:to>
      <xdr:col>5</xdr:col>
      <xdr:colOff>533400</xdr:colOff>
      <xdr:row>16</xdr:row>
      <xdr:rowOff>5715</xdr:rowOff>
    </xdr:to>
    <mc:AlternateContent xmlns:mc="http://schemas.openxmlformats.org/markup-compatibility/2006" xmlns:a14="http://schemas.microsoft.com/office/drawing/2010/main">
      <mc:Choice Requires="a14">
        <xdr:graphicFrame macro="">
          <xdr:nvGraphicFramePr>
            <xdr:cNvPr id="4" name="Festival">
              <a:extLst>
                <a:ext uri="{FF2B5EF4-FFF2-40B4-BE49-F238E27FC236}">
                  <a16:creationId xmlns:a16="http://schemas.microsoft.com/office/drawing/2014/main" id="{AB7FDC00-3952-E52A-119B-4BF6A956483B}"/>
                </a:ext>
              </a:extLst>
            </xdr:cNvPr>
            <xdr:cNvGraphicFramePr/>
          </xdr:nvGraphicFramePr>
          <xdr:xfrm>
            <a:off x="0" y="0"/>
            <a:ext cx="0" cy="0"/>
          </xdr:xfrm>
          <a:graphic>
            <a:graphicData uri="http://schemas.microsoft.com/office/drawing/2010/slicer">
              <sle:slicer xmlns:sle="http://schemas.microsoft.com/office/drawing/2010/slicer" name="Festival"/>
            </a:graphicData>
          </a:graphic>
        </xdr:graphicFrame>
      </mc:Choice>
      <mc:Fallback xmlns="">
        <xdr:sp macro="" textlink="">
          <xdr:nvSpPr>
            <xdr:cNvPr id="0" name=""/>
            <xdr:cNvSpPr>
              <a:spLocks noTextEdit="1"/>
            </xdr:cNvSpPr>
          </xdr:nvSpPr>
          <xdr:spPr>
            <a:xfrm>
              <a:off x="3451860" y="464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2</xdr:row>
      <xdr:rowOff>144780</xdr:rowOff>
    </xdr:from>
    <xdr:to>
      <xdr:col>9</xdr:col>
      <xdr:colOff>152400</xdr:colOff>
      <xdr:row>16</xdr:row>
      <xdr:rowOff>51435</xdr:rowOff>
    </xdr:to>
    <mc:AlternateContent xmlns:mc="http://schemas.openxmlformats.org/markup-compatibility/2006" xmlns:a14="http://schemas.microsoft.com/office/drawing/2010/main">
      <mc:Choice Requires="a14">
        <xdr:graphicFrame macro="">
          <xdr:nvGraphicFramePr>
            <xdr:cNvPr id="5" name="Total Revenue ($)">
              <a:extLst>
                <a:ext uri="{FF2B5EF4-FFF2-40B4-BE49-F238E27FC236}">
                  <a16:creationId xmlns:a16="http://schemas.microsoft.com/office/drawing/2014/main" id="{5EFEB92F-534F-53E8-B02D-149F3687A1A5}"/>
                </a:ext>
              </a:extLst>
            </xdr:cNvPr>
            <xdr:cNvGraphicFramePr/>
          </xdr:nvGraphicFramePr>
          <xdr:xfrm>
            <a:off x="0" y="0"/>
            <a:ext cx="0" cy="0"/>
          </xdr:xfrm>
          <a:graphic>
            <a:graphicData uri="http://schemas.microsoft.com/office/drawing/2010/slicer">
              <sle:slicer xmlns:sle="http://schemas.microsoft.com/office/drawing/2010/slicer" name="Total Revenue ($)"/>
            </a:graphicData>
          </a:graphic>
        </xdr:graphicFrame>
      </mc:Choice>
      <mc:Fallback xmlns="">
        <xdr:sp macro="" textlink="">
          <xdr:nvSpPr>
            <xdr:cNvPr id="0" name=""/>
            <xdr:cNvSpPr>
              <a:spLocks noTextEdit="1"/>
            </xdr:cNvSpPr>
          </xdr:nvSpPr>
          <xdr:spPr>
            <a:xfrm>
              <a:off x="5509260" y="510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411480</xdr:colOff>
      <xdr:row>1</xdr:row>
      <xdr:rowOff>45720</xdr:rowOff>
    </xdr:from>
    <xdr:to>
      <xdr:col>5</xdr:col>
      <xdr:colOff>411480</xdr:colOff>
      <xdr:row>14</xdr:row>
      <xdr:rowOff>135255</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8EC7B4FF-D31E-1CE8-AA91-EF6D8D12DF4E}"/>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154680" y="228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472440</xdr:colOff>
      <xdr:row>1</xdr:row>
      <xdr:rowOff>38101</xdr:rowOff>
    </xdr:from>
    <xdr:to>
      <xdr:col>5</xdr:col>
      <xdr:colOff>472440</xdr:colOff>
      <xdr:row>8</xdr:row>
      <xdr:rowOff>60961</xdr:rowOff>
    </xdr:to>
    <mc:AlternateContent xmlns:mc="http://schemas.openxmlformats.org/markup-compatibility/2006" xmlns:a14="http://schemas.microsoft.com/office/drawing/2010/main">
      <mc:Choice Requires="a14">
        <xdr:graphicFrame macro="">
          <xdr:nvGraphicFramePr>
            <xdr:cNvPr id="4" name="Delivery Status">
              <a:extLst>
                <a:ext uri="{FF2B5EF4-FFF2-40B4-BE49-F238E27FC236}">
                  <a16:creationId xmlns:a16="http://schemas.microsoft.com/office/drawing/2014/main" id="{49194885-7CEA-28CE-D123-50134051E49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537460" y="220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464820</xdr:colOff>
      <xdr:row>0</xdr:row>
      <xdr:rowOff>0</xdr:rowOff>
    </xdr:from>
    <xdr:to>
      <xdr:col>5</xdr:col>
      <xdr:colOff>464820</xdr:colOff>
      <xdr:row>13</xdr:row>
      <xdr:rowOff>89535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7D375621-3879-B1B7-07FB-9EF23021A3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7274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99060</xdr:colOff>
      <xdr:row>0</xdr:row>
      <xdr:rowOff>0</xdr:rowOff>
    </xdr:from>
    <xdr:to>
      <xdr:col>9</xdr:col>
      <xdr:colOff>99060</xdr:colOff>
      <xdr:row>13</xdr:row>
      <xdr:rowOff>89535</xdr:rowOff>
    </xdr:to>
    <mc:AlternateContent xmlns:mc="http://schemas.openxmlformats.org/markup-compatibility/2006" xmlns:a14="http://schemas.microsoft.com/office/drawing/2010/main">
      <mc:Choice Requires="a14">
        <xdr:graphicFrame macro="">
          <xdr:nvGraphicFramePr>
            <xdr:cNvPr id="4" name="Total Revenue ($) 2">
              <a:extLst>
                <a:ext uri="{FF2B5EF4-FFF2-40B4-BE49-F238E27FC236}">
                  <a16:creationId xmlns:a16="http://schemas.microsoft.com/office/drawing/2014/main" id="{CB9E7B79-0AF9-E2CA-A391-B74AC35DBD47}"/>
                </a:ext>
              </a:extLst>
            </xdr:cNvPr>
            <xdr:cNvGraphicFramePr/>
          </xdr:nvGraphicFramePr>
          <xdr:xfrm>
            <a:off x="0" y="0"/>
            <a:ext cx="0" cy="0"/>
          </xdr:xfrm>
          <a:graphic>
            <a:graphicData uri="http://schemas.microsoft.com/office/drawing/2010/slicer">
              <sle:slicer xmlns:sle="http://schemas.microsoft.com/office/drawing/2010/slicer" name="Total Revenue ($) 2"/>
            </a:graphicData>
          </a:graphic>
        </xdr:graphicFrame>
      </mc:Choice>
      <mc:Fallback xmlns="">
        <xdr:sp macro="" textlink="">
          <xdr:nvSpPr>
            <xdr:cNvPr id="0" name=""/>
            <xdr:cNvSpPr>
              <a:spLocks noTextEdit="1"/>
            </xdr:cNvSpPr>
          </xdr:nvSpPr>
          <xdr:spPr>
            <a:xfrm>
              <a:off x="494538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472440</xdr:colOff>
      <xdr:row>2</xdr:row>
      <xdr:rowOff>7620</xdr:rowOff>
    </xdr:from>
    <xdr:to>
      <xdr:col>5</xdr:col>
      <xdr:colOff>472440</xdr:colOff>
      <xdr:row>15</xdr:row>
      <xdr:rowOff>97155</xdr:rowOff>
    </xdr:to>
    <mc:AlternateContent xmlns:mc="http://schemas.openxmlformats.org/markup-compatibility/2006" xmlns:a14="http://schemas.microsoft.com/office/drawing/2010/main">
      <mc:Choice Requires="a14">
        <xdr:graphicFrame macro="">
          <xdr:nvGraphicFramePr>
            <xdr:cNvPr id="5" name="Price Range">
              <a:extLst>
                <a:ext uri="{FF2B5EF4-FFF2-40B4-BE49-F238E27FC236}">
                  <a16:creationId xmlns:a16="http://schemas.microsoft.com/office/drawing/2014/main" id="{CC3158E8-CEDD-8598-4397-52514B4A797C}"/>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mlns="">
        <xdr:sp macro="" textlink="">
          <xdr:nvSpPr>
            <xdr:cNvPr id="0" name=""/>
            <xdr:cNvSpPr>
              <a:spLocks noTextEdit="1"/>
            </xdr:cNvSpPr>
          </xdr:nvSpPr>
          <xdr:spPr>
            <a:xfrm>
              <a:off x="288798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259080</xdr:colOff>
      <xdr:row>1</xdr:row>
      <xdr:rowOff>167640</xdr:rowOff>
    </xdr:from>
    <xdr:to>
      <xdr:col>9</xdr:col>
      <xdr:colOff>259080</xdr:colOff>
      <xdr:row>15</xdr:row>
      <xdr:rowOff>74295</xdr:rowOff>
    </xdr:to>
    <mc:AlternateContent xmlns:mc="http://schemas.openxmlformats.org/markup-compatibility/2006" xmlns:a14="http://schemas.microsoft.com/office/drawing/2010/main">
      <mc:Choice Requires="a14">
        <xdr:graphicFrame macro="">
          <xdr:nvGraphicFramePr>
            <xdr:cNvPr id="6" name="No. of Sales 1">
              <a:extLst>
                <a:ext uri="{FF2B5EF4-FFF2-40B4-BE49-F238E27FC236}">
                  <a16:creationId xmlns:a16="http://schemas.microsoft.com/office/drawing/2014/main" id="{0B660E68-19C6-E7BB-4481-D83798E6A371}"/>
                </a:ext>
              </a:extLst>
            </xdr:cNvPr>
            <xdr:cNvGraphicFramePr/>
          </xdr:nvGraphicFramePr>
          <xdr:xfrm>
            <a:off x="0" y="0"/>
            <a:ext cx="0" cy="0"/>
          </xdr:xfrm>
          <a:graphic>
            <a:graphicData uri="http://schemas.microsoft.com/office/drawing/2010/slicer">
              <sle:slicer xmlns:sle="http://schemas.microsoft.com/office/drawing/2010/slicer" name="No. of Sales 1"/>
            </a:graphicData>
          </a:graphic>
        </xdr:graphicFrame>
      </mc:Choice>
      <mc:Fallback xmlns="">
        <xdr:sp macro="" textlink="">
          <xdr:nvSpPr>
            <xdr:cNvPr id="0" name=""/>
            <xdr:cNvSpPr>
              <a:spLocks noTextEdit="1"/>
            </xdr:cNvSpPr>
          </xdr:nvSpPr>
          <xdr:spPr>
            <a:xfrm>
              <a:off x="5113020" y="350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480060</xdr:colOff>
      <xdr:row>3</xdr:row>
      <xdr:rowOff>160020</xdr:rowOff>
    </xdr:from>
    <xdr:to>
      <xdr:col>5</xdr:col>
      <xdr:colOff>480060</xdr:colOff>
      <xdr:row>17</xdr:row>
      <xdr:rowOff>66675</xdr:rowOff>
    </xdr:to>
    <mc:AlternateContent xmlns:mc="http://schemas.openxmlformats.org/markup-compatibility/2006" xmlns:a14="http://schemas.microsoft.com/office/drawing/2010/main">
      <mc:Choice Requires="a14">
        <xdr:graphicFrame macro="">
          <xdr:nvGraphicFramePr>
            <xdr:cNvPr id="3" name="Price Range 3">
              <a:extLst>
                <a:ext uri="{FF2B5EF4-FFF2-40B4-BE49-F238E27FC236}">
                  <a16:creationId xmlns:a16="http://schemas.microsoft.com/office/drawing/2014/main" id="{D05C6D9A-3EA8-D760-EF6B-8AAA50B44E78}"/>
                </a:ext>
              </a:extLst>
            </xdr:cNvPr>
            <xdr:cNvGraphicFramePr/>
          </xdr:nvGraphicFramePr>
          <xdr:xfrm>
            <a:off x="0" y="0"/>
            <a:ext cx="0" cy="0"/>
          </xdr:xfrm>
          <a:graphic>
            <a:graphicData uri="http://schemas.microsoft.com/office/drawing/2010/slicer">
              <sle:slicer xmlns:sle="http://schemas.microsoft.com/office/drawing/2010/slicer" name="Price Range 3"/>
            </a:graphicData>
          </a:graphic>
        </xdr:graphicFrame>
      </mc:Choice>
      <mc:Fallback xmlns="">
        <xdr:sp macro="" textlink="">
          <xdr:nvSpPr>
            <xdr:cNvPr id="0" name=""/>
            <xdr:cNvSpPr>
              <a:spLocks noTextEdit="1"/>
            </xdr:cNvSpPr>
          </xdr:nvSpPr>
          <xdr:spPr>
            <a:xfrm>
              <a:off x="2895600" y="708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205740</xdr:colOff>
      <xdr:row>42</xdr:row>
      <xdr:rowOff>106680</xdr:rowOff>
    </xdr:from>
    <xdr:to>
      <xdr:col>1</xdr:col>
      <xdr:colOff>419100</xdr:colOff>
      <xdr:row>56</xdr:row>
      <xdr:rowOff>13335</xdr:rowOff>
    </xdr:to>
    <mc:AlternateContent xmlns:mc="http://schemas.openxmlformats.org/markup-compatibility/2006" xmlns:a14="http://schemas.microsoft.com/office/drawing/2010/main">
      <mc:Choice Requires="a14">
        <xdr:graphicFrame macro="">
          <xdr:nvGraphicFramePr>
            <xdr:cNvPr id="8" name="Credit Card">
              <a:extLst>
                <a:ext uri="{FF2B5EF4-FFF2-40B4-BE49-F238E27FC236}">
                  <a16:creationId xmlns:a16="http://schemas.microsoft.com/office/drawing/2014/main" id="{4C7ED41D-857A-51E1-25E2-0F612C2DC624}"/>
                </a:ext>
              </a:extLst>
            </xdr:cNvPr>
            <xdr:cNvGraphicFramePr/>
          </xdr:nvGraphicFramePr>
          <xdr:xfrm>
            <a:off x="0" y="0"/>
            <a:ext cx="0" cy="0"/>
          </xdr:xfrm>
          <a:graphic>
            <a:graphicData uri="http://schemas.microsoft.com/office/drawing/2010/slicer">
              <sle:slicer xmlns:sle="http://schemas.microsoft.com/office/drawing/2010/slicer" name="Credit Card"/>
            </a:graphicData>
          </a:graphic>
        </xdr:graphicFrame>
      </mc:Choice>
      <mc:Fallback xmlns="">
        <xdr:sp macro="" textlink="">
          <xdr:nvSpPr>
            <xdr:cNvPr id="0" name=""/>
            <xdr:cNvSpPr>
              <a:spLocks noTextEdit="1"/>
            </xdr:cNvSpPr>
          </xdr:nvSpPr>
          <xdr:spPr>
            <a:xfrm>
              <a:off x="205740" y="7787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42</xdr:row>
      <xdr:rowOff>106680</xdr:rowOff>
    </xdr:from>
    <xdr:to>
      <xdr:col>3</xdr:col>
      <xdr:colOff>819695</xdr:colOff>
      <xdr:row>56</xdr:row>
      <xdr:rowOff>13335</xdr:rowOff>
    </xdr:to>
    <mc:AlternateContent xmlns:mc="http://schemas.openxmlformats.org/markup-compatibility/2006" xmlns:a14="http://schemas.microsoft.com/office/drawing/2010/main">
      <mc:Choice Requires="a14">
        <xdr:graphicFrame macro="">
          <xdr:nvGraphicFramePr>
            <xdr:cNvPr id="9" name="UPI">
              <a:extLst>
                <a:ext uri="{FF2B5EF4-FFF2-40B4-BE49-F238E27FC236}">
                  <a16:creationId xmlns:a16="http://schemas.microsoft.com/office/drawing/2014/main" id="{A135ECD3-8925-1C2C-5CC7-933765864ACD}"/>
                </a:ext>
              </a:extLst>
            </xdr:cNvPr>
            <xdr:cNvGraphicFramePr/>
          </xdr:nvGraphicFramePr>
          <xdr:xfrm>
            <a:off x="0" y="0"/>
            <a:ext cx="0" cy="0"/>
          </xdr:xfrm>
          <a:graphic>
            <a:graphicData uri="http://schemas.microsoft.com/office/drawing/2010/slicer">
              <sle:slicer xmlns:sle="http://schemas.microsoft.com/office/drawing/2010/slicer" name="UPI"/>
            </a:graphicData>
          </a:graphic>
        </xdr:graphicFrame>
      </mc:Choice>
      <mc:Fallback xmlns="">
        <xdr:sp macro="" textlink="">
          <xdr:nvSpPr>
            <xdr:cNvPr id="0" name=""/>
            <xdr:cNvSpPr>
              <a:spLocks noTextEdit="1"/>
            </xdr:cNvSpPr>
          </xdr:nvSpPr>
          <xdr:spPr>
            <a:xfrm>
              <a:off x="2369820" y="7787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381000</xdr:colOff>
      <xdr:row>42</xdr:row>
      <xdr:rowOff>114300</xdr:rowOff>
    </xdr:from>
    <xdr:to>
      <xdr:col>5</xdr:col>
      <xdr:colOff>606335</xdr:colOff>
      <xdr:row>56</xdr:row>
      <xdr:rowOff>20955</xdr:rowOff>
    </xdr:to>
    <mc:AlternateContent xmlns:mc="http://schemas.openxmlformats.org/markup-compatibility/2006" xmlns:a14="http://schemas.microsoft.com/office/drawing/2010/main">
      <mc:Choice Requires="a14">
        <xdr:graphicFrame macro="">
          <xdr:nvGraphicFramePr>
            <xdr:cNvPr id="10" name="Cheque">
              <a:extLst>
                <a:ext uri="{FF2B5EF4-FFF2-40B4-BE49-F238E27FC236}">
                  <a16:creationId xmlns:a16="http://schemas.microsoft.com/office/drawing/2014/main" id="{1C47A045-1510-F529-A058-8CEC853FF66F}"/>
                </a:ext>
              </a:extLst>
            </xdr:cNvPr>
            <xdr:cNvGraphicFramePr/>
          </xdr:nvGraphicFramePr>
          <xdr:xfrm>
            <a:off x="0" y="0"/>
            <a:ext cx="0" cy="0"/>
          </xdr:xfrm>
          <a:graphic>
            <a:graphicData uri="http://schemas.microsoft.com/office/drawing/2010/slicer">
              <sle:slicer xmlns:sle="http://schemas.microsoft.com/office/drawing/2010/slicer" name="Cheque"/>
            </a:graphicData>
          </a:graphic>
        </xdr:graphicFrame>
      </mc:Choice>
      <mc:Fallback xmlns="">
        <xdr:sp macro="" textlink="">
          <xdr:nvSpPr>
            <xdr:cNvPr id="0" name=""/>
            <xdr:cNvSpPr>
              <a:spLocks noTextEdit="1"/>
            </xdr:cNvSpPr>
          </xdr:nvSpPr>
          <xdr:spPr>
            <a:xfrm>
              <a:off x="4907280" y="779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45720</xdr:colOff>
      <xdr:row>43</xdr:row>
      <xdr:rowOff>121920</xdr:rowOff>
    </xdr:from>
    <xdr:to>
      <xdr:col>8</xdr:col>
      <xdr:colOff>176349</xdr:colOff>
      <xdr:row>57</xdr:row>
      <xdr:rowOff>28575</xdr:rowOff>
    </xdr:to>
    <mc:AlternateContent xmlns:mc="http://schemas.openxmlformats.org/markup-compatibility/2006" xmlns:a14="http://schemas.microsoft.com/office/drawing/2010/main">
      <mc:Choice Requires="a14">
        <xdr:graphicFrame macro="">
          <xdr:nvGraphicFramePr>
            <xdr:cNvPr id="11" name="Total Buyers">
              <a:extLst>
                <a:ext uri="{FF2B5EF4-FFF2-40B4-BE49-F238E27FC236}">
                  <a16:creationId xmlns:a16="http://schemas.microsoft.com/office/drawing/2014/main" id="{1F412EE1-8633-C15D-1182-3324C0215A97}"/>
                </a:ext>
              </a:extLst>
            </xdr:cNvPr>
            <xdr:cNvGraphicFramePr/>
          </xdr:nvGraphicFramePr>
          <xdr:xfrm>
            <a:off x="0" y="0"/>
            <a:ext cx="0" cy="0"/>
          </xdr:xfrm>
          <a:graphic>
            <a:graphicData uri="http://schemas.microsoft.com/office/drawing/2010/slicer">
              <sle:slicer xmlns:sle="http://schemas.microsoft.com/office/drawing/2010/slicer" name="Total Buyers"/>
            </a:graphicData>
          </a:graphic>
        </xdr:graphicFrame>
      </mc:Choice>
      <mc:Fallback xmlns="">
        <xdr:sp macro="" textlink="">
          <xdr:nvSpPr>
            <xdr:cNvPr id="0" name=""/>
            <xdr:cNvSpPr>
              <a:spLocks noTextEdit="1"/>
            </xdr:cNvSpPr>
          </xdr:nvSpPr>
          <xdr:spPr>
            <a:xfrm>
              <a:off x="7322820" y="7985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414746</xdr:colOff>
      <xdr:row>4</xdr:row>
      <xdr:rowOff>81641</xdr:rowOff>
    </xdr:from>
    <xdr:to>
      <xdr:col>12</xdr:col>
      <xdr:colOff>414746</xdr:colOff>
      <xdr:row>17</xdr:row>
      <xdr:rowOff>142874</xdr:rowOff>
    </xdr:to>
    <mc:AlternateContent xmlns:mc="http://schemas.openxmlformats.org/markup-compatibility/2006" xmlns:a14="http://schemas.microsoft.com/office/drawing/2010/main">
      <mc:Choice Requires="a14">
        <xdr:graphicFrame macro="">
          <xdr:nvGraphicFramePr>
            <xdr:cNvPr id="12" name="Bike Model">
              <a:extLst>
                <a:ext uri="{FF2B5EF4-FFF2-40B4-BE49-F238E27FC236}">
                  <a16:creationId xmlns:a16="http://schemas.microsoft.com/office/drawing/2014/main" id="{D36066D8-B0ED-3C1B-04A5-DFF35E3CD562}"/>
                </a:ext>
              </a:extLst>
            </xdr:cNvPr>
            <xdr:cNvGraphicFramePr/>
          </xdr:nvGraphicFramePr>
          <xdr:xfrm>
            <a:off x="0" y="0"/>
            <a:ext cx="0" cy="0"/>
          </xdr:xfrm>
          <a:graphic>
            <a:graphicData uri="http://schemas.microsoft.com/office/drawing/2010/slicer">
              <sle:slicer xmlns:sle="http://schemas.microsoft.com/office/drawing/2010/slicer" name="Bike Model"/>
            </a:graphicData>
          </a:graphic>
        </xdr:graphicFrame>
      </mc:Choice>
      <mc:Fallback xmlns="">
        <xdr:sp macro="" textlink="">
          <xdr:nvSpPr>
            <xdr:cNvPr id="0" name=""/>
            <xdr:cNvSpPr>
              <a:spLocks noTextEdit="1"/>
            </xdr:cNvSpPr>
          </xdr:nvSpPr>
          <xdr:spPr>
            <a:xfrm>
              <a:off x="10897689" y="82187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434340</xdr:colOff>
      <xdr:row>2</xdr:row>
      <xdr:rowOff>7620</xdr:rowOff>
    </xdr:from>
    <xdr:to>
      <xdr:col>9</xdr:col>
      <xdr:colOff>434340</xdr:colOff>
      <xdr:row>15</xdr:row>
      <xdr:rowOff>97155</xdr:rowOff>
    </xdr:to>
    <mc:AlternateContent xmlns:mc="http://schemas.openxmlformats.org/markup-compatibility/2006" xmlns:a14="http://schemas.microsoft.com/office/drawing/2010/main">
      <mc:Choice Requires="a14">
        <xdr:graphicFrame macro="">
          <xdr:nvGraphicFramePr>
            <xdr:cNvPr id="4" name="With Insurance (Yes)">
              <a:extLst>
                <a:ext uri="{FF2B5EF4-FFF2-40B4-BE49-F238E27FC236}">
                  <a16:creationId xmlns:a16="http://schemas.microsoft.com/office/drawing/2014/main" id="{1BDF04B8-25CF-4E57-719F-9EED8F3861EE}"/>
                </a:ext>
              </a:extLst>
            </xdr:cNvPr>
            <xdr:cNvGraphicFramePr/>
          </xdr:nvGraphicFramePr>
          <xdr:xfrm>
            <a:off x="0" y="0"/>
            <a:ext cx="0" cy="0"/>
          </xdr:xfrm>
          <a:graphic>
            <a:graphicData uri="http://schemas.microsoft.com/office/drawing/2010/slicer">
              <sle:slicer xmlns:sle="http://schemas.microsoft.com/office/drawing/2010/slicer" name="With Insurance (Yes)"/>
            </a:graphicData>
          </a:graphic>
        </xdr:graphicFrame>
      </mc:Choice>
      <mc:Fallback xmlns="">
        <xdr:sp macro="" textlink="">
          <xdr:nvSpPr>
            <xdr:cNvPr id="0" name=""/>
            <xdr:cNvSpPr>
              <a:spLocks noTextEdit="1"/>
            </xdr:cNvSpPr>
          </xdr:nvSpPr>
          <xdr:spPr>
            <a:xfrm>
              <a:off x="733806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2</xdr:row>
      <xdr:rowOff>22860</xdr:rowOff>
    </xdr:from>
    <xdr:to>
      <xdr:col>13</xdr:col>
      <xdr:colOff>152400</xdr:colOff>
      <xdr:row>15</xdr:row>
      <xdr:rowOff>112395</xdr:rowOff>
    </xdr:to>
    <mc:AlternateContent xmlns:mc="http://schemas.openxmlformats.org/markup-compatibility/2006" xmlns:a14="http://schemas.microsoft.com/office/drawing/2010/main">
      <mc:Choice Requires="a14">
        <xdr:graphicFrame macro="">
          <xdr:nvGraphicFramePr>
            <xdr:cNvPr id="5" name="Without Insurance (No)">
              <a:extLst>
                <a:ext uri="{FF2B5EF4-FFF2-40B4-BE49-F238E27FC236}">
                  <a16:creationId xmlns:a16="http://schemas.microsoft.com/office/drawing/2014/main" id="{F6ECBEEF-C26B-FD19-2A9F-C6BD0E0B213F}"/>
                </a:ext>
              </a:extLst>
            </xdr:cNvPr>
            <xdr:cNvGraphicFramePr/>
          </xdr:nvGraphicFramePr>
          <xdr:xfrm>
            <a:off x="0" y="0"/>
            <a:ext cx="0" cy="0"/>
          </xdr:xfrm>
          <a:graphic>
            <a:graphicData uri="http://schemas.microsoft.com/office/drawing/2010/slicer">
              <sle:slicer xmlns:sle="http://schemas.microsoft.com/office/drawing/2010/slicer" name="Without Insurance (No)"/>
            </a:graphicData>
          </a:graphic>
        </xdr:graphicFrame>
      </mc:Choice>
      <mc:Fallback xmlns="">
        <xdr:sp macro="" textlink="">
          <xdr:nvSpPr>
            <xdr:cNvPr id="0" name=""/>
            <xdr:cNvSpPr>
              <a:spLocks noTextEdit="1"/>
            </xdr:cNvSpPr>
          </xdr:nvSpPr>
          <xdr:spPr>
            <a:xfrm>
              <a:off x="9494520" y="388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518160</xdr:colOff>
      <xdr:row>2</xdr:row>
      <xdr:rowOff>7620</xdr:rowOff>
    </xdr:from>
    <xdr:to>
      <xdr:col>9</xdr:col>
      <xdr:colOff>518160</xdr:colOff>
      <xdr:row>15</xdr:row>
      <xdr:rowOff>97155</xdr:rowOff>
    </xdr:to>
    <mc:AlternateContent xmlns:mc="http://schemas.openxmlformats.org/markup-compatibility/2006" xmlns:a14="http://schemas.microsoft.com/office/drawing/2010/main">
      <mc:Choice Requires="a14">
        <xdr:graphicFrame macro="">
          <xdr:nvGraphicFramePr>
            <xdr:cNvPr id="5" name="With Exchange (Yes)">
              <a:extLst>
                <a:ext uri="{FF2B5EF4-FFF2-40B4-BE49-F238E27FC236}">
                  <a16:creationId xmlns:a16="http://schemas.microsoft.com/office/drawing/2014/main" id="{B5EB9B64-8807-F0D2-96D7-663063889D22}"/>
                </a:ext>
              </a:extLst>
            </xdr:cNvPr>
            <xdr:cNvGraphicFramePr/>
          </xdr:nvGraphicFramePr>
          <xdr:xfrm>
            <a:off x="0" y="0"/>
            <a:ext cx="0" cy="0"/>
          </xdr:xfrm>
          <a:graphic>
            <a:graphicData uri="http://schemas.microsoft.com/office/drawing/2010/slicer">
              <sle:slicer xmlns:sle="http://schemas.microsoft.com/office/drawing/2010/slicer" name="With Exchange (Yes)"/>
            </a:graphicData>
          </a:graphic>
        </xdr:graphicFrame>
      </mc:Choice>
      <mc:Fallback xmlns="">
        <xdr:sp macro="" textlink="">
          <xdr:nvSpPr>
            <xdr:cNvPr id="0" name=""/>
            <xdr:cNvSpPr>
              <a:spLocks noTextEdit="1"/>
            </xdr:cNvSpPr>
          </xdr:nvSpPr>
          <xdr:spPr>
            <a:xfrm>
              <a:off x="7391400" y="373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182880</xdr:colOff>
      <xdr:row>2</xdr:row>
      <xdr:rowOff>15240</xdr:rowOff>
    </xdr:from>
    <xdr:to>
      <xdr:col>13</xdr:col>
      <xdr:colOff>182880</xdr:colOff>
      <xdr:row>15</xdr:row>
      <xdr:rowOff>104775</xdr:rowOff>
    </xdr:to>
    <mc:AlternateContent xmlns:mc="http://schemas.openxmlformats.org/markup-compatibility/2006" xmlns:a14="http://schemas.microsoft.com/office/drawing/2010/main">
      <mc:Choice Requires="a14">
        <xdr:graphicFrame macro="">
          <xdr:nvGraphicFramePr>
            <xdr:cNvPr id="6" name="Without Exchange (No)">
              <a:extLst>
                <a:ext uri="{FF2B5EF4-FFF2-40B4-BE49-F238E27FC236}">
                  <a16:creationId xmlns:a16="http://schemas.microsoft.com/office/drawing/2014/main" id="{90FD7FC2-654B-BB6C-6F01-F21A6E21207C}"/>
                </a:ext>
              </a:extLst>
            </xdr:cNvPr>
            <xdr:cNvGraphicFramePr/>
          </xdr:nvGraphicFramePr>
          <xdr:xfrm>
            <a:off x="0" y="0"/>
            <a:ext cx="0" cy="0"/>
          </xdr:xfrm>
          <a:graphic>
            <a:graphicData uri="http://schemas.microsoft.com/office/drawing/2010/slicer">
              <sle:slicer xmlns:sle="http://schemas.microsoft.com/office/drawing/2010/slicer" name="Without Exchange (No)"/>
            </a:graphicData>
          </a:graphic>
        </xdr:graphicFrame>
      </mc:Choice>
      <mc:Fallback xmlns="">
        <xdr:sp macro="" textlink="">
          <xdr:nvSpPr>
            <xdr:cNvPr id="0" name=""/>
            <xdr:cNvSpPr>
              <a:spLocks noTextEdit="1"/>
            </xdr:cNvSpPr>
          </xdr:nvSpPr>
          <xdr:spPr>
            <a:xfrm>
              <a:off x="9494520" y="381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_showroom_dashboard_enhanced%20(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bike_showroom_dashboard_enhanced%20(2).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bike_showroom_dashboard_enhanced%20(2).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bike_showroom_dashboard_enhanced%20(2).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bike_showroom_dashboard_enhanced%20(2).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bike_showroom_dashboard_enhanced%20(2)%20updated(AutoRecovered).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Kunal/AppData/Roaming/Microsoft/Excel/bike_showroom_dashboard_enhanced%20(2)%20updated%20(version%201).xlsb"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Users/Kunal/AppData/Roaming/Microsoft/Excel/bike_showroom_dashboard_enhanced%20(2)%20updated%20(version%201).xlsb"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openxmlformats.org/officeDocument/2006/relationships/externalLinkPath" Target="/Users/Kunal/AppData/Roaming/Microsoft/Excel/bike_showroom_dashboard_enhanced%20(2)%20updated%20(version%201).xlsb" TargetMode="External"/><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2" Type="http://schemas.openxmlformats.org/officeDocument/2006/relationships/externalLinkPath" Target="bike_showroom_dashboard_enhanced%20(2)%20updated(AutoRecovered).xlsx" TargetMode="External"/><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065656250001" createdVersion="8" refreshedVersion="8" minRefreshableVersion="3" recordCount="12" xr:uid="{1D71C1D7-1A3E-4BB2-A7ED-371127F35F96}">
  <cacheSource type="worksheet">
    <worksheetSource ref="B10:E22" sheet="Dashboard" r:id="rId2"/>
  </cacheSource>
  <cacheFields count="4">
    <cacheField name="Festival" numFmtId="0">
      <sharedItems count="12">
        <s v="Diwali"/>
        <s v="Dussehra"/>
        <s v="Ganesh Chaturthi"/>
        <s v="Onam"/>
        <s v="Navratri"/>
        <s v="Makar Sankranti"/>
        <s v="New Year"/>
        <s v="Republic Day Sale"/>
        <s v="Independence Day Sale"/>
        <s v="Ugadi"/>
        <s v="Pongal"/>
        <s v="Holi"/>
      </sharedItems>
    </cacheField>
    <cacheField name="No. of Sales" numFmtId="0">
      <sharedItems containsSemiMixedTypes="0" containsString="0" containsNumber="1" containsInteger="1" minValue="72" maxValue="96"/>
    </cacheField>
    <cacheField name="Total Revenue ($)" numFmtId="164">
      <sharedItems containsSemiMixedTypes="0" containsString="0" containsNumber="1" minValue="8122862.0210000006" maxValue="10651512.356000002" count="12">
        <n v="10374825.905999999"/>
        <n v="10165164.999000005"/>
        <n v="10651512.356000002"/>
        <n v="8898658.0510000009"/>
        <n v="8291132.4050000012"/>
        <n v="8906814.3179999962"/>
        <n v="8936654.8469999973"/>
        <n v="9027555.7770000007"/>
        <n v="9531893.2409999985"/>
        <n v="8821021.4089999963"/>
        <n v="8122862.0210000006"/>
        <n v="9934489.5230000019"/>
      </sharedItems>
    </cacheField>
    <cacheField name="Avg Discount (%)" numFmtId="165">
      <sharedItems containsSemiMixedTypes="0" containsString="0" containsNumber="1" minValue="8.2986111111111125" maxValue="9.7687500000000007"/>
    </cacheField>
  </cacheFields>
  <extLst>
    <ext xmlns:x14="http://schemas.microsoft.com/office/spreadsheetml/2009/9/main" uri="{725AE2AE-9491-48be-B2B4-4EB974FC3084}">
      <x14:pivotCacheDefinition pivotCacheId="2613595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06852025463" createdVersion="8" refreshedVersion="8" minRefreshableVersion="3" recordCount="6" xr:uid="{FFFDA441-272A-4B0F-84D8-E4118E5FD138}">
  <cacheSource type="worksheet">
    <worksheetSource ref="C10:E16" sheet="Dashboard" r:id="rId2"/>
  </cacheSource>
  <cacheFields count="3">
    <cacheField name="Branch" numFmtId="0">
      <sharedItems count="6">
        <s v="Andheri Branch"/>
        <s v="Dadar Branch"/>
        <s v="Thane Branch"/>
        <s v="Pune Camp Branch"/>
        <s v="Nashik Road Branch"/>
        <s v="Vashi Branch"/>
      </sharedItems>
    </cacheField>
    <cacheField name="No. of Sales" numFmtId="0">
      <sharedItems containsSemiMixedTypes="0" containsString="0" containsNumber="1" containsInteger="1" minValue="149" maxValue="196"/>
    </cacheField>
    <cacheField name="Total Revenue ($)" numFmtId="164">
      <sharedItems containsSemiMixedTypes="0" containsString="0" containsNumber="1" minValue="16689625.776999993" maxValue="21332865.25" count="6">
        <n v="17136479.271000002"/>
        <n v="18798845.580000013"/>
        <n v="20642735.432000004"/>
        <n v="16689625.776999993"/>
        <n v="17062033.543000005"/>
        <n v="21332865.25"/>
      </sharedItems>
    </cacheField>
  </cacheFields>
  <extLst>
    <ext xmlns:x14="http://schemas.microsoft.com/office/spreadsheetml/2009/9/main" uri="{725AE2AE-9491-48be-B2B4-4EB974FC3084}">
      <x14:pivotCacheDefinition pivotCacheId="13856730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075415509258" createdVersion="8" refreshedVersion="8" minRefreshableVersion="3" recordCount="3" xr:uid="{7C075336-9636-42F4-A19A-6C03A79F5DCE}">
  <cacheSource type="worksheet">
    <worksheetSource ref="E35:F38" sheet="Dashboard" r:id="rId2"/>
  </cacheSource>
  <cacheFields count="2">
    <cacheField name="Delivery Status" numFmtId="0">
      <sharedItems count="3">
        <s v="Delivered"/>
        <s v="Pending"/>
        <s v="In Transit"/>
      </sharedItems>
    </cacheField>
    <cacheField name="No. of Sales" numFmtId="0">
      <sharedItems containsSemiMixedTypes="0" containsString="0" containsNumber="1" containsInteger="1" minValue="158" maxValue="672" count="3">
        <n v="672"/>
        <n v="170"/>
        <n v="158"/>
      </sharedItems>
    </cacheField>
  </cacheFields>
  <extLst>
    <ext xmlns:x14="http://schemas.microsoft.com/office/spreadsheetml/2009/9/main" uri="{725AE2AE-9491-48be-B2B4-4EB974FC3084}">
      <x14:pivotCacheDefinition pivotCacheId="89765309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079126157405" createdVersion="8" refreshedVersion="8" minRefreshableVersion="3" recordCount="5" xr:uid="{A4FADA41-6534-4618-997B-191FB40B94C6}">
  <cacheSource type="worksheet">
    <worksheetSource ref="B26:D31" sheet="Dashboard" r:id="rId2"/>
  </cacheSource>
  <cacheFields count="3">
    <cacheField name="Category" numFmtId="0">
      <sharedItems count="5">
        <s v="Commuter"/>
        <s v="Sports"/>
        <s v="Cruiser"/>
        <s v="Scooter"/>
        <s v="Electric"/>
      </sharedItems>
    </cacheField>
    <cacheField name="No. of Sales" numFmtId="0">
      <sharedItems containsSemiMixedTypes="0" containsString="0" containsNumber="1" containsInteger="1" minValue="91" maxValue="360"/>
    </cacheField>
    <cacheField name="Total Revenue ($)" numFmtId="164">
      <sharedItems containsSemiMixedTypes="0" containsString="0" containsNumber="1" minValue="11752172.753" maxValue="47118407.599999994" count="5">
        <n v="21209422.399999991"/>
        <n v="47118407.599999994"/>
        <n v="18647014.599999998"/>
        <n v="12935567.5"/>
        <n v="11752172.753"/>
      </sharedItems>
    </cacheField>
  </cacheFields>
  <extLst>
    <ext xmlns:x14="http://schemas.microsoft.com/office/spreadsheetml/2009/9/main" uri="{725AE2AE-9491-48be-B2B4-4EB974FC3084}">
      <x14:pivotCacheDefinition pivotCacheId="95729214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082756134259" createdVersion="8" refreshedVersion="8" minRefreshableVersion="3" recordCount="6" xr:uid="{750AD67F-301B-4654-8DC4-3C6645374E22}">
  <cacheSource type="worksheet">
    <worksheetSource ref="E35:F41" sheet="Dashboard" r:id="rId2"/>
  </cacheSource>
  <cacheFields count="2">
    <cacheField name="Price Range" numFmtId="0">
      <sharedItems count="6">
        <s v="Under $75,000"/>
        <s v="$75,000 - $100,000"/>
        <s v="$100,000 - $125,000"/>
        <s v="$125,000 - $150,000"/>
        <s v="$150,000 - $200,000"/>
        <s v="Above $200,000"/>
      </sharedItems>
    </cacheField>
    <cacheField name="No. of Sales" numFmtId="0">
      <sharedItems containsSemiMixedTypes="0" containsString="0" containsNumber="1" containsInteger="1" minValue="0" maxValue="260" count="6">
        <n v="235"/>
        <n v="195"/>
        <n v="260"/>
        <n v="139"/>
        <n v="171"/>
        <n v="0"/>
      </sharedItems>
    </cacheField>
  </cacheFields>
  <extLst>
    <ext xmlns:x14="http://schemas.microsoft.com/office/spreadsheetml/2009/9/main" uri="{725AE2AE-9491-48be-B2B4-4EB974FC3084}">
      <x14:pivotCacheDefinition pivotCacheId="106928844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102570833333" createdVersion="8" refreshedVersion="8" minRefreshableVersion="3" recordCount="6" xr:uid="{D79010F2-0AD7-4008-9AC0-9CC80C31E0BE}">
  <cacheSource type="worksheet">
    <worksheetSource ref="A2:B8" sheet="Final Price Distribution" r:id="rId2"/>
  </cacheSource>
  <cacheFields count="2">
    <cacheField name="Price Range" numFmtId="0">
      <sharedItems count="6">
        <s v="Under $75,000"/>
        <s v="$75,000 - $100,000"/>
        <s v="$100,000 - $125,000"/>
        <s v="$125,000 - $150,000"/>
        <s v="$150,000 - $200,000"/>
        <s v="Above $200,000"/>
      </sharedItems>
    </cacheField>
    <cacheField name="No. of Sales" numFmtId="0">
      <sharedItems containsSemiMixedTypes="0" containsString="0" containsNumber="1" containsInteger="1" minValue="0" maxValue="260" count="6">
        <n v="235"/>
        <n v="195"/>
        <n v="260"/>
        <n v="139"/>
        <n v="171"/>
        <n v="0"/>
      </sharedItems>
    </cacheField>
  </cacheFields>
  <extLst>
    <ext xmlns:x14="http://schemas.microsoft.com/office/spreadsheetml/2009/9/main" uri="{725AE2AE-9491-48be-B2B4-4EB974FC3084}">
      <x14:pivotCacheDefinition pivotCacheId="29646812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108072337964" createdVersion="8" refreshedVersion="8" minRefreshableVersion="3" recordCount="18" xr:uid="{3AFD3DF8-953D-4CE3-8734-E85A1CA24345}">
  <cacheSource type="worksheet">
    <worksheetSource ref="A4:I22" sheet="Bike Purchase Breakdown" r:id="rId2"/>
  </cacheSource>
  <cacheFields count="9">
    <cacheField name="Bike Model" numFmtId="0">
      <sharedItems count="18">
        <s v="Hero Splendor Plus"/>
        <s v="Honda Shine"/>
        <s v="Bajaj Pulsar 150"/>
        <s v="TVS Apache RTR 160"/>
        <s v="Royal Enfield Classic 350"/>
        <s v="Yamaha FZ-S"/>
        <s v="Honda Activa 6G"/>
        <s v="TVS Jupiter"/>
        <s v="Suzuki Access 125"/>
        <s v="Bajaj Chetak Electric"/>
        <s v="Ola S1 Pro"/>
        <s v="KTM Duke 200"/>
        <s v="Royal Enfield Hunter 350"/>
        <s v="Hero Xtreme 160R"/>
        <s v="Yamaha MT-15"/>
        <s v="Honda Unicorn"/>
        <s v="Bajaj Platina 110"/>
        <s v="TVS Raider 125"/>
      </sharedItems>
    </cacheField>
    <cacheField name="Cash" numFmtId="0">
      <sharedItems containsSemiMixedTypes="0" containsString="0" containsNumber="1" containsInteger="1" minValue="4" maxValue="13" count="9">
        <n v="5"/>
        <n v="10"/>
        <n v="9"/>
        <n v="6"/>
        <n v="4"/>
        <n v="7"/>
        <n v="13"/>
        <n v="12"/>
        <n v="8"/>
      </sharedItems>
    </cacheField>
    <cacheField name="Bank Loan" numFmtId="0">
      <sharedItems containsSemiMixedTypes="0" containsString="0" containsNumber="1" containsInteger="1" minValue="3" maxValue="16" count="11">
        <n v="4"/>
        <n v="5"/>
        <n v="11"/>
        <n v="7"/>
        <n v="8"/>
        <n v="16"/>
        <n v="3"/>
        <n v="10"/>
        <n v="9"/>
        <n v="12"/>
        <n v="13"/>
      </sharedItems>
    </cacheField>
    <cacheField name="EMI - HDFC" numFmtId="0">
      <sharedItems containsSemiMixedTypes="0" containsString="0" containsNumber="1" containsInteger="1" minValue="5" maxValue="16" count="7">
        <n v="6"/>
        <n v="7"/>
        <n v="16"/>
        <n v="10"/>
        <n v="5"/>
        <n v="8"/>
        <n v="9"/>
      </sharedItems>
    </cacheField>
    <cacheField name="EMI - Bajaj Finserv" numFmtId="0">
      <sharedItems containsSemiMixedTypes="0" containsString="0" containsNumber="1" containsInteger="1" minValue="4" maxValue="14" count="11">
        <n v="7"/>
        <n v="11"/>
        <n v="9"/>
        <n v="4"/>
        <n v="12"/>
        <n v="14"/>
        <n v="10"/>
        <n v="8"/>
        <n v="5"/>
        <n v="13"/>
        <n v="6"/>
      </sharedItems>
    </cacheField>
    <cacheField name="Credit Card" numFmtId="0">
      <sharedItems containsSemiMixedTypes="0" containsString="0" containsNumber="1" containsInteger="1" minValue="2" maxValue="13" count="10">
        <n v="6"/>
        <n v="8"/>
        <n v="2"/>
        <n v="3"/>
        <n v="9"/>
        <n v="13"/>
        <n v="12"/>
        <n v="4"/>
        <n v="7"/>
        <n v="5"/>
      </sharedItems>
    </cacheField>
    <cacheField name="UPI" numFmtId="0">
      <sharedItems containsSemiMixedTypes="0" containsString="0" containsNumber="1" containsInteger="1" minValue="3" maxValue="12" count="8">
        <n v="6"/>
        <n v="3"/>
        <n v="5"/>
        <n v="12"/>
        <n v="10"/>
        <n v="11"/>
        <n v="7"/>
        <n v="8"/>
      </sharedItems>
    </cacheField>
    <cacheField name="Cheque" numFmtId="0">
      <sharedItems containsSemiMixedTypes="0" containsString="0" containsNumber="1" containsInteger="1" minValue="2" maxValue="13" count="11">
        <n v="6"/>
        <n v="10"/>
        <n v="9"/>
        <n v="13"/>
        <n v="8"/>
        <n v="7"/>
        <n v="5"/>
        <n v="2"/>
        <n v="12"/>
        <n v="11"/>
        <n v="4"/>
      </sharedItems>
    </cacheField>
    <cacheField name="Total Buyers" numFmtId="0">
      <sharedItems containsSemiMixedTypes="0" containsString="0" containsNumber="1" containsInteger="1" minValue="37" maxValue="71" count="16">
        <n v="40"/>
        <n v="54"/>
        <n v="67"/>
        <n v="58"/>
        <n v="61"/>
        <n v="46"/>
        <n v="64"/>
        <n v="71"/>
        <n v="37"/>
        <n v="39"/>
        <n v="52"/>
        <n v="68"/>
        <n v="63"/>
        <n v="45"/>
        <n v="70"/>
        <n v="55"/>
      </sharedItems>
    </cacheField>
  </cacheFields>
  <extLst>
    <ext xmlns:x14="http://schemas.microsoft.com/office/spreadsheetml/2009/9/main" uri="{725AE2AE-9491-48be-B2B4-4EB974FC3084}">
      <x14:pivotCacheDefinition pivotCacheId="772698516"/>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113958912036" createdVersion="8" refreshedVersion="8" minRefreshableVersion="3" recordCount="18" xr:uid="{68D94944-B1BD-4DEC-9E9C-550F82E3F3B5}">
  <cacheSource type="worksheet">
    <worksheetSource ref="A25:C43" sheet="Bike Purchase Breakdown" r:id="rId2"/>
  </cacheSource>
  <cacheFields count="3">
    <cacheField name="Bike Model" numFmtId="0">
      <sharedItems count="18">
        <s v="Hero Splendor Plus"/>
        <s v="Honda Shine"/>
        <s v="Bajaj Pulsar 150"/>
        <s v="TVS Apache RTR 160"/>
        <s v="Royal Enfield Classic 350"/>
        <s v="Yamaha FZ-S"/>
        <s v="Honda Activa 6G"/>
        <s v="TVS Jupiter"/>
        <s v="Suzuki Access 125"/>
        <s v="Bajaj Chetak Electric"/>
        <s v="Ola S1 Pro"/>
        <s v="KTM Duke 200"/>
        <s v="Royal Enfield Hunter 350"/>
        <s v="Hero Xtreme 160R"/>
        <s v="Yamaha MT-15"/>
        <s v="Honda Unicorn"/>
        <s v="Bajaj Platina 110"/>
        <s v="TVS Raider 125"/>
      </sharedItems>
    </cacheField>
    <cacheField name="With Insurance (Yes)" numFmtId="0">
      <sharedItems containsSemiMixedTypes="0" containsString="0" containsNumber="1" containsInteger="1" minValue="21" maxValue="51" count="13">
        <n v="25"/>
        <n v="31"/>
        <n v="44"/>
        <n v="41"/>
        <n v="38"/>
        <n v="32"/>
        <n v="34"/>
        <n v="49"/>
        <n v="27"/>
        <n v="26"/>
        <n v="51"/>
        <n v="39"/>
        <n v="21"/>
      </sharedItems>
    </cacheField>
    <cacheField name="Without Insurance (No)" numFmtId="0">
      <sharedItems containsSemiMixedTypes="0" containsString="0" containsNumber="1" containsInteger="1" minValue="10" maxValue="30" count="12">
        <n v="15"/>
        <n v="23"/>
        <n v="17"/>
        <n v="14"/>
        <n v="30"/>
        <n v="22"/>
        <n v="10"/>
        <n v="13"/>
        <n v="18"/>
        <n v="20"/>
        <n v="24"/>
        <n v="21"/>
      </sharedItems>
    </cacheField>
  </cacheFields>
  <extLst>
    <ext xmlns:x14="http://schemas.microsoft.com/office/spreadsheetml/2009/9/main" uri="{725AE2AE-9491-48be-B2B4-4EB974FC3084}">
      <x14:pivotCacheDefinition pivotCacheId="152824176"/>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118864236108" createdVersion="8" refreshedVersion="8" minRefreshableVersion="3" recordCount="18" xr:uid="{9D894F5B-B093-48B7-9BD2-586B5DCDE631}">
  <cacheSource type="worksheet">
    <worksheetSource ref="A46:C64" sheet="Bike Purchase Breakdown" r:id="rId2"/>
  </cacheSource>
  <cacheFields count="3">
    <cacheField name="Bike Model" numFmtId="0">
      <sharedItems count="18">
        <s v="Hero Splendor Plus"/>
        <s v="Honda Shine"/>
        <s v="Bajaj Pulsar 150"/>
        <s v="TVS Apache RTR 160"/>
        <s v="Royal Enfield Classic 350"/>
        <s v="Yamaha FZ-S"/>
        <s v="Honda Activa 6G"/>
        <s v="TVS Jupiter"/>
        <s v="Suzuki Access 125"/>
        <s v="Bajaj Chetak Electric"/>
        <s v="Ola S1 Pro"/>
        <s v="KTM Duke 200"/>
        <s v="Royal Enfield Hunter 350"/>
        <s v="Hero Xtreme 160R"/>
        <s v="Yamaha MT-15"/>
        <s v="Honda Unicorn"/>
        <s v="Bajaj Platina 110"/>
        <s v="TVS Raider 125"/>
      </sharedItems>
    </cacheField>
    <cacheField name="With Exchange (Yes)" numFmtId="0">
      <sharedItems containsSemiMixedTypes="0" containsString="0" containsNumber="1" containsInteger="1" minValue="6" maxValue="22" count="12">
        <n v="17"/>
        <n v="18"/>
        <n v="20"/>
        <n v="15"/>
        <n v="22"/>
        <n v="7"/>
        <n v="14"/>
        <n v="10"/>
        <n v="6"/>
        <n v="16"/>
        <n v="9"/>
        <n v="11"/>
      </sharedItems>
    </cacheField>
    <cacheField name="Without Exchange (No)" numFmtId="0">
      <sharedItems containsSemiMixedTypes="0" containsString="0" containsNumber="1" containsInteger="1" minValue="23" maxValue="57" count="13">
        <n v="23"/>
        <n v="36"/>
        <n v="47"/>
        <n v="43"/>
        <n v="39"/>
        <n v="46"/>
        <n v="57"/>
        <n v="27"/>
        <n v="32"/>
        <n v="51"/>
        <n v="38"/>
        <n v="44"/>
        <n v="48"/>
      </sharedItems>
    </cacheField>
  </cacheFields>
  <extLst>
    <ext xmlns:x14="http://schemas.microsoft.com/office/spreadsheetml/2009/9/main" uri="{725AE2AE-9491-48be-B2B4-4EB974FC3084}">
      <x14:pivotCacheDefinition pivotCacheId="1033671774"/>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refreshedDate="46243.182416203701" createdVersion="8" refreshedVersion="8" minRefreshableVersion="3" recordCount="12" xr:uid="{3B459F08-0BE4-433A-97F6-728BA272EB38}">
  <cacheSource type="worksheet">
    <worksheetSource ref="A1:D13" sheet="Festival Summary" r:id="rId2"/>
  </cacheSource>
  <cacheFields count="4">
    <cacheField name="Festival" numFmtId="0">
      <sharedItems count="12">
        <s v="Diwali"/>
        <s v="Dussehra"/>
        <s v="Ganesh Chaturthi"/>
        <s v="Onam"/>
        <s v="Navratri"/>
        <s v="Makar Sankranti"/>
        <s v="New Year"/>
        <s v="Republic Day Sale"/>
        <s v="Independence Day Sale"/>
        <s v="Ugadi"/>
        <s v="Pongal"/>
        <s v="Holi"/>
      </sharedItems>
    </cacheField>
    <cacheField name="No. of Sales" numFmtId="0">
      <sharedItems containsSemiMixedTypes="0" containsString="0" containsNumber="1" containsInteger="1" minValue="72" maxValue="96"/>
    </cacheField>
    <cacheField name="Total Revenue ($)" numFmtId="164">
      <sharedItems containsSemiMixedTypes="0" containsString="0" containsNumber="1" minValue="8122862.0210000006" maxValue="10651512.356000002"/>
    </cacheField>
    <cacheField name="Avg Discount (%)" numFmtId="165">
      <sharedItems containsSemiMixedTypes="0" containsString="0" containsNumber="1" minValue="8.2986111111111125" maxValue="9.7687500000000007"/>
    </cacheField>
  </cacheFields>
  <extLst>
    <ext xmlns:x14="http://schemas.microsoft.com/office/spreadsheetml/2009/9/main" uri="{725AE2AE-9491-48be-B2B4-4EB974FC3084}">
      <x14:pivotCacheDefinition pivotCacheId="485202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96"/>
    <x v="0"/>
    <n v="8.7812499999999982"/>
  </r>
  <r>
    <x v="1"/>
    <n v="88"/>
    <x v="1"/>
    <n v="9.0431818181818127"/>
  </r>
  <r>
    <x v="2"/>
    <n v="95"/>
    <x v="2"/>
    <n v="8.56"/>
  </r>
  <r>
    <x v="3"/>
    <n v="79"/>
    <x v="3"/>
    <n v="8.6278481012658261"/>
  </r>
  <r>
    <x v="4"/>
    <n v="74"/>
    <x v="4"/>
    <n v="8.8067567567567568"/>
  </r>
  <r>
    <x v="5"/>
    <n v="80"/>
    <x v="5"/>
    <n v="8.7900000000000027"/>
  </r>
  <r>
    <x v="6"/>
    <n v="80"/>
    <x v="6"/>
    <n v="9.7687500000000007"/>
  </r>
  <r>
    <x v="7"/>
    <n v="77"/>
    <x v="7"/>
    <n v="9.1116883116883098"/>
  </r>
  <r>
    <x v="8"/>
    <n v="91"/>
    <x v="8"/>
    <n v="9.6186813186813165"/>
  </r>
  <r>
    <x v="9"/>
    <n v="82"/>
    <x v="9"/>
    <n v="8.7902439024390233"/>
  </r>
  <r>
    <x v="10"/>
    <n v="72"/>
    <x v="10"/>
    <n v="8.2986111111111125"/>
  </r>
  <r>
    <x v="11"/>
    <n v="86"/>
    <x v="11"/>
    <n v="9.37209302325581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60"/>
    <x v="0"/>
  </r>
  <r>
    <x v="1"/>
    <n v="165"/>
    <x v="1"/>
  </r>
  <r>
    <x v="2"/>
    <n v="180"/>
    <x v="2"/>
  </r>
  <r>
    <x v="3"/>
    <n v="150"/>
    <x v="3"/>
  </r>
  <r>
    <x v="4"/>
    <n v="149"/>
    <x v="4"/>
  </r>
  <r>
    <x v="5"/>
    <n v="196"/>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x v="0"/>
  </r>
  <r>
    <x v="1"/>
    <x v="1"/>
  </r>
  <r>
    <x v="2"/>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264"/>
    <x v="0"/>
  </r>
  <r>
    <x v="1"/>
    <n v="360"/>
    <x v="1"/>
  </r>
  <r>
    <x v="2"/>
    <n v="113"/>
    <x v="2"/>
  </r>
  <r>
    <x v="3"/>
    <n v="172"/>
    <x v="3"/>
  </r>
  <r>
    <x v="4"/>
    <n v="91"/>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r>
  <r>
    <x v="1"/>
    <x v="1"/>
  </r>
  <r>
    <x v="2"/>
    <x v="2"/>
  </r>
  <r>
    <x v="3"/>
    <x v="3"/>
  </r>
  <r>
    <x v="4"/>
    <x v="4"/>
  </r>
  <r>
    <x v="5"/>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r>
  <r>
    <x v="1"/>
    <x v="1"/>
  </r>
  <r>
    <x v="2"/>
    <x v="2"/>
  </r>
  <r>
    <x v="3"/>
    <x v="3"/>
  </r>
  <r>
    <x v="4"/>
    <x v="4"/>
  </r>
  <r>
    <x v="5"/>
    <x v="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x v="0"/>
    <x v="0"/>
    <x v="0"/>
    <x v="0"/>
    <x v="0"/>
    <x v="0"/>
  </r>
  <r>
    <x v="1"/>
    <x v="1"/>
    <x v="1"/>
    <x v="1"/>
    <x v="1"/>
    <x v="1"/>
    <x v="1"/>
    <x v="1"/>
    <x v="1"/>
  </r>
  <r>
    <x v="2"/>
    <x v="2"/>
    <x v="2"/>
    <x v="2"/>
    <x v="2"/>
    <x v="1"/>
    <x v="2"/>
    <x v="2"/>
    <x v="2"/>
  </r>
  <r>
    <x v="3"/>
    <x v="1"/>
    <x v="2"/>
    <x v="0"/>
    <x v="3"/>
    <x v="2"/>
    <x v="3"/>
    <x v="3"/>
    <x v="3"/>
  </r>
  <r>
    <x v="4"/>
    <x v="2"/>
    <x v="2"/>
    <x v="0"/>
    <x v="4"/>
    <x v="3"/>
    <x v="3"/>
    <x v="4"/>
    <x v="4"/>
  </r>
  <r>
    <x v="5"/>
    <x v="0"/>
    <x v="3"/>
    <x v="0"/>
    <x v="3"/>
    <x v="4"/>
    <x v="0"/>
    <x v="2"/>
    <x v="5"/>
  </r>
  <r>
    <x v="6"/>
    <x v="3"/>
    <x v="4"/>
    <x v="0"/>
    <x v="5"/>
    <x v="5"/>
    <x v="4"/>
    <x v="5"/>
    <x v="6"/>
  </r>
  <r>
    <x v="7"/>
    <x v="2"/>
    <x v="5"/>
    <x v="3"/>
    <x v="6"/>
    <x v="6"/>
    <x v="2"/>
    <x v="2"/>
    <x v="7"/>
  </r>
  <r>
    <x v="8"/>
    <x v="4"/>
    <x v="1"/>
    <x v="1"/>
    <x v="7"/>
    <x v="2"/>
    <x v="0"/>
    <x v="6"/>
    <x v="8"/>
  </r>
  <r>
    <x v="9"/>
    <x v="0"/>
    <x v="3"/>
    <x v="4"/>
    <x v="8"/>
    <x v="4"/>
    <x v="0"/>
    <x v="7"/>
    <x v="9"/>
  </r>
  <r>
    <x v="10"/>
    <x v="5"/>
    <x v="6"/>
    <x v="5"/>
    <x v="0"/>
    <x v="7"/>
    <x v="5"/>
    <x v="8"/>
    <x v="10"/>
  </r>
  <r>
    <x v="11"/>
    <x v="2"/>
    <x v="7"/>
    <x v="3"/>
    <x v="9"/>
    <x v="1"/>
    <x v="6"/>
    <x v="9"/>
    <x v="11"/>
  </r>
  <r>
    <x v="12"/>
    <x v="6"/>
    <x v="3"/>
    <x v="1"/>
    <x v="10"/>
    <x v="4"/>
    <x v="0"/>
    <x v="10"/>
    <x v="10"/>
  </r>
  <r>
    <x v="13"/>
    <x v="7"/>
    <x v="8"/>
    <x v="0"/>
    <x v="4"/>
    <x v="8"/>
    <x v="7"/>
    <x v="10"/>
    <x v="3"/>
  </r>
  <r>
    <x v="14"/>
    <x v="8"/>
    <x v="9"/>
    <x v="6"/>
    <x v="2"/>
    <x v="6"/>
    <x v="7"/>
    <x v="6"/>
    <x v="12"/>
  </r>
  <r>
    <x v="15"/>
    <x v="1"/>
    <x v="8"/>
    <x v="0"/>
    <x v="3"/>
    <x v="7"/>
    <x v="1"/>
    <x v="2"/>
    <x v="13"/>
  </r>
  <r>
    <x v="16"/>
    <x v="7"/>
    <x v="10"/>
    <x v="2"/>
    <x v="2"/>
    <x v="9"/>
    <x v="7"/>
    <x v="5"/>
    <x v="14"/>
  </r>
  <r>
    <x v="17"/>
    <x v="7"/>
    <x v="4"/>
    <x v="0"/>
    <x v="7"/>
    <x v="7"/>
    <x v="4"/>
    <x v="5"/>
    <x v="1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r>
  <r>
    <x v="1"/>
    <x v="1"/>
    <x v="1"/>
  </r>
  <r>
    <x v="2"/>
    <x v="2"/>
    <x v="1"/>
  </r>
  <r>
    <x v="3"/>
    <x v="3"/>
    <x v="2"/>
  </r>
  <r>
    <x v="4"/>
    <x v="4"/>
    <x v="1"/>
  </r>
  <r>
    <x v="5"/>
    <x v="5"/>
    <x v="3"/>
  </r>
  <r>
    <x v="6"/>
    <x v="6"/>
    <x v="4"/>
  </r>
  <r>
    <x v="7"/>
    <x v="7"/>
    <x v="5"/>
  </r>
  <r>
    <x v="8"/>
    <x v="8"/>
    <x v="6"/>
  </r>
  <r>
    <x v="9"/>
    <x v="9"/>
    <x v="7"/>
  </r>
  <r>
    <x v="10"/>
    <x v="6"/>
    <x v="8"/>
  </r>
  <r>
    <x v="11"/>
    <x v="10"/>
    <x v="2"/>
  </r>
  <r>
    <x v="12"/>
    <x v="5"/>
    <x v="9"/>
  </r>
  <r>
    <x v="13"/>
    <x v="3"/>
    <x v="2"/>
  </r>
  <r>
    <x v="14"/>
    <x v="11"/>
    <x v="10"/>
  </r>
  <r>
    <x v="15"/>
    <x v="12"/>
    <x v="10"/>
  </r>
  <r>
    <x v="16"/>
    <x v="7"/>
    <x v="11"/>
  </r>
  <r>
    <x v="17"/>
    <x v="4"/>
    <x v="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x v="0"/>
  </r>
  <r>
    <x v="1"/>
    <x v="1"/>
    <x v="1"/>
  </r>
  <r>
    <x v="2"/>
    <x v="2"/>
    <x v="2"/>
  </r>
  <r>
    <x v="3"/>
    <x v="3"/>
    <x v="3"/>
  </r>
  <r>
    <x v="4"/>
    <x v="4"/>
    <x v="4"/>
  </r>
  <r>
    <x v="5"/>
    <x v="5"/>
    <x v="4"/>
  </r>
  <r>
    <x v="6"/>
    <x v="1"/>
    <x v="5"/>
  </r>
  <r>
    <x v="7"/>
    <x v="6"/>
    <x v="6"/>
  </r>
  <r>
    <x v="8"/>
    <x v="7"/>
    <x v="7"/>
  </r>
  <r>
    <x v="9"/>
    <x v="5"/>
    <x v="8"/>
  </r>
  <r>
    <x v="10"/>
    <x v="8"/>
    <x v="5"/>
  </r>
  <r>
    <x v="11"/>
    <x v="0"/>
    <x v="9"/>
  </r>
  <r>
    <x v="12"/>
    <x v="6"/>
    <x v="10"/>
  </r>
  <r>
    <x v="13"/>
    <x v="6"/>
    <x v="11"/>
  </r>
  <r>
    <x v="14"/>
    <x v="9"/>
    <x v="2"/>
  </r>
  <r>
    <x v="15"/>
    <x v="10"/>
    <x v="1"/>
  </r>
  <r>
    <x v="16"/>
    <x v="4"/>
    <x v="12"/>
  </r>
  <r>
    <x v="17"/>
    <x v="11"/>
    <x v="1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96"/>
    <n v="10374825.905999999"/>
    <n v="8.7812499999999982"/>
  </r>
  <r>
    <x v="1"/>
    <n v="88"/>
    <n v="10165164.999000005"/>
    <n v="9.0431818181818127"/>
  </r>
  <r>
    <x v="2"/>
    <n v="95"/>
    <n v="10651512.356000002"/>
    <n v="8.56"/>
  </r>
  <r>
    <x v="3"/>
    <n v="79"/>
    <n v="8898658.0510000009"/>
    <n v="8.6278481012658261"/>
  </r>
  <r>
    <x v="4"/>
    <n v="74"/>
    <n v="8291132.4050000012"/>
    <n v="8.8067567567567568"/>
  </r>
  <r>
    <x v="5"/>
    <n v="80"/>
    <n v="8906814.3179999962"/>
    <n v="8.7900000000000027"/>
  </r>
  <r>
    <x v="6"/>
    <n v="80"/>
    <n v="8936654.8469999973"/>
    <n v="9.7687500000000007"/>
  </r>
  <r>
    <x v="7"/>
    <n v="77"/>
    <n v="9027555.7770000007"/>
    <n v="9.1116883116883098"/>
  </r>
  <r>
    <x v="8"/>
    <n v="91"/>
    <n v="9531893.2409999985"/>
    <n v="9.6186813186813165"/>
  </r>
  <r>
    <x v="9"/>
    <n v="82"/>
    <n v="8821021.4089999963"/>
    <n v="8.7902439024390233"/>
  </r>
  <r>
    <x v="10"/>
    <n v="72"/>
    <n v="8122862.0210000006"/>
    <n v="8.2986111111111125"/>
  </r>
  <r>
    <x v="11"/>
    <n v="86"/>
    <n v="9934489.5230000019"/>
    <n v="9.37209302325581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CD946D-D566-49F0-8D2B-BE8072AEEA1A}"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16" firstHeaderRow="1" firstDataRow="1" firstDataCol="1"/>
  <pivotFields count="4">
    <pivotField axis="axisRow" showAll="0">
      <items count="13">
        <item x="0"/>
        <item x="1"/>
        <item x="2"/>
        <item x="11"/>
        <item x="8"/>
        <item x="5"/>
        <item x="4"/>
        <item x="6"/>
        <item x="3"/>
        <item x="10"/>
        <item x="7"/>
        <item x="9"/>
        <item t="default"/>
      </items>
    </pivotField>
    <pivotField showAll="0"/>
    <pivotField dataField="1" numFmtId="164" showAll="0">
      <items count="13">
        <item x="10"/>
        <item x="4"/>
        <item x="9"/>
        <item x="3"/>
        <item x="5"/>
        <item x="6"/>
        <item x="7"/>
        <item x="8"/>
        <item x="11"/>
        <item x="1"/>
        <item x="0"/>
        <item x="2"/>
        <item t="default"/>
      </items>
    </pivotField>
    <pivotField numFmtId="165" showAll="0"/>
  </pivotFields>
  <rowFields count="1">
    <field x="0"/>
  </rowFields>
  <rowItems count="13">
    <i>
      <x/>
    </i>
    <i>
      <x v="1"/>
    </i>
    <i>
      <x v="2"/>
    </i>
    <i>
      <x v="3"/>
    </i>
    <i>
      <x v="4"/>
    </i>
    <i>
      <x v="5"/>
    </i>
    <i>
      <x v="6"/>
    </i>
    <i>
      <x v="7"/>
    </i>
    <i>
      <x v="8"/>
    </i>
    <i>
      <x v="9"/>
    </i>
    <i>
      <x v="10"/>
    </i>
    <i>
      <x v="11"/>
    </i>
    <i t="grand">
      <x/>
    </i>
  </rowItems>
  <colItems count="1">
    <i/>
  </colItems>
  <dataFields count="1">
    <dataField name="Sum of Total Revenue ($)" fld="2" baseField="0" baseItem="0" numFmtId="164"/>
  </dataFields>
  <chartFormats count="13">
    <chartFormat chart="40" format="105" series="1">
      <pivotArea type="data" outline="0" fieldPosition="0">
        <references count="1">
          <reference field="4294967294" count="1" selected="0">
            <x v="0"/>
          </reference>
        </references>
      </pivotArea>
    </chartFormat>
    <chartFormat chart="40" format="106">
      <pivotArea type="data" outline="0" fieldPosition="0">
        <references count="2">
          <reference field="4294967294" count="1" selected="0">
            <x v="0"/>
          </reference>
          <reference field="0" count="1" selected="0">
            <x v="0"/>
          </reference>
        </references>
      </pivotArea>
    </chartFormat>
    <chartFormat chart="40" format="107">
      <pivotArea type="data" outline="0" fieldPosition="0">
        <references count="2">
          <reference field="4294967294" count="1" selected="0">
            <x v="0"/>
          </reference>
          <reference field="0" count="1" selected="0">
            <x v="1"/>
          </reference>
        </references>
      </pivotArea>
    </chartFormat>
    <chartFormat chart="40" format="108">
      <pivotArea type="data" outline="0" fieldPosition="0">
        <references count="2">
          <reference field="4294967294" count="1" selected="0">
            <x v="0"/>
          </reference>
          <reference field="0" count="1" selected="0">
            <x v="2"/>
          </reference>
        </references>
      </pivotArea>
    </chartFormat>
    <chartFormat chart="40" format="109">
      <pivotArea type="data" outline="0" fieldPosition="0">
        <references count="2">
          <reference field="4294967294" count="1" selected="0">
            <x v="0"/>
          </reference>
          <reference field="0" count="1" selected="0">
            <x v="3"/>
          </reference>
        </references>
      </pivotArea>
    </chartFormat>
    <chartFormat chart="40" format="110">
      <pivotArea type="data" outline="0" fieldPosition="0">
        <references count="2">
          <reference field="4294967294" count="1" selected="0">
            <x v="0"/>
          </reference>
          <reference field="0" count="1" selected="0">
            <x v="4"/>
          </reference>
        </references>
      </pivotArea>
    </chartFormat>
    <chartFormat chart="40" format="111">
      <pivotArea type="data" outline="0" fieldPosition="0">
        <references count="2">
          <reference field="4294967294" count="1" selected="0">
            <x v="0"/>
          </reference>
          <reference field="0" count="1" selected="0">
            <x v="5"/>
          </reference>
        </references>
      </pivotArea>
    </chartFormat>
    <chartFormat chart="40" format="112">
      <pivotArea type="data" outline="0" fieldPosition="0">
        <references count="2">
          <reference field="4294967294" count="1" selected="0">
            <x v="0"/>
          </reference>
          <reference field="0" count="1" selected="0">
            <x v="6"/>
          </reference>
        </references>
      </pivotArea>
    </chartFormat>
    <chartFormat chart="40" format="113">
      <pivotArea type="data" outline="0" fieldPosition="0">
        <references count="2">
          <reference field="4294967294" count="1" selected="0">
            <x v="0"/>
          </reference>
          <reference field="0" count="1" selected="0">
            <x v="7"/>
          </reference>
        </references>
      </pivotArea>
    </chartFormat>
    <chartFormat chart="40" format="114">
      <pivotArea type="data" outline="0" fieldPosition="0">
        <references count="2">
          <reference field="4294967294" count="1" selected="0">
            <x v="0"/>
          </reference>
          <reference field="0" count="1" selected="0">
            <x v="8"/>
          </reference>
        </references>
      </pivotArea>
    </chartFormat>
    <chartFormat chart="40" format="115">
      <pivotArea type="data" outline="0" fieldPosition="0">
        <references count="2">
          <reference field="4294967294" count="1" selected="0">
            <x v="0"/>
          </reference>
          <reference field="0" count="1" selected="0">
            <x v="9"/>
          </reference>
        </references>
      </pivotArea>
    </chartFormat>
    <chartFormat chart="40" format="116">
      <pivotArea type="data" outline="0" fieldPosition="0">
        <references count="2">
          <reference field="4294967294" count="1" selected="0">
            <x v="0"/>
          </reference>
          <reference field="0" count="1" selected="0">
            <x v="10"/>
          </reference>
        </references>
      </pivotArea>
    </chartFormat>
    <chartFormat chart="40" format="117">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530FF3-D2A1-4CD3-A07E-E16646C1B6C1}"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3:B10" firstHeaderRow="1" firstDataRow="1" firstDataCol="1"/>
  <pivotFields count="3">
    <pivotField axis="axisRow" showAll="0">
      <items count="7">
        <item x="0"/>
        <item x="1"/>
        <item x="4"/>
        <item x="3"/>
        <item x="2"/>
        <item x="5"/>
        <item t="default"/>
      </items>
    </pivotField>
    <pivotField showAll="0"/>
    <pivotField dataField="1" numFmtId="164" showAll="0">
      <items count="7">
        <item x="3"/>
        <item x="4"/>
        <item x="0"/>
        <item x="1"/>
        <item x="2"/>
        <item x="5"/>
        <item t="default"/>
      </items>
    </pivotField>
  </pivotFields>
  <rowFields count="1">
    <field x="0"/>
  </rowFields>
  <rowItems count="7">
    <i>
      <x/>
    </i>
    <i>
      <x v="1"/>
    </i>
    <i>
      <x v="2"/>
    </i>
    <i>
      <x v="3"/>
    </i>
    <i>
      <x v="4"/>
    </i>
    <i>
      <x v="5"/>
    </i>
    <i t="grand">
      <x/>
    </i>
  </rowItems>
  <colItems count="1">
    <i/>
  </colItems>
  <dataFields count="1">
    <dataField name="Sum of Total Revenue ($)" fld="2" baseField="0" baseItem="0" numFmtId="164"/>
  </dataFields>
  <chartFormats count="1">
    <chartFormat chart="5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539EFC-853C-40A7-8822-E469BCCD201C}"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7" firstHeaderRow="1" firstDataRow="1" firstDataCol="1"/>
  <pivotFields count="2">
    <pivotField axis="axisRow" showAll="0">
      <items count="4">
        <item x="0"/>
        <item x="2"/>
        <item x="1"/>
        <item t="default"/>
      </items>
    </pivotField>
    <pivotField dataField="1" showAll="0">
      <items count="4">
        <item x="2"/>
        <item x="1"/>
        <item x="0"/>
        <item t="default"/>
      </items>
    </pivotField>
  </pivotFields>
  <rowFields count="1">
    <field x="0"/>
  </rowFields>
  <rowItems count="4">
    <i>
      <x/>
    </i>
    <i>
      <x v="1"/>
    </i>
    <i>
      <x v="2"/>
    </i>
    <i t="grand">
      <x/>
    </i>
  </rowItems>
  <colItems count="1">
    <i/>
  </colItems>
  <dataFields count="1">
    <dataField name="Sum of No. of Sales" fld="1" baseField="0" baseItem="0"/>
  </dataFields>
  <chartFormats count="20">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 chart="35" format="25" series="1">
      <pivotArea type="data" outline="0" fieldPosition="0">
        <references count="1">
          <reference field="4294967294" count="1" selected="0">
            <x v="0"/>
          </reference>
        </references>
      </pivotArea>
    </chartFormat>
    <chartFormat chart="35" format="26">
      <pivotArea type="data" outline="0" fieldPosition="0">
        <references count="2">
          <reference field="4294967294" count="1" selected="0">
            <x v="0"/>
          </reference>
          <reference field="0" count="1" selected="0">
            <x v="0"/>
          </reference>
        </references>
      </pivotArea>
    </chartFormat>
    <chartFormat chart="35" format="27">
      <pivotArea type="data" outline="0" fieldPosition="0">
        <references count="2">
          <reference field="4294967294" count="1" selected="0">
            <x v="0"/>
          </reference>
          <reference field="0" count="1" selected="0">
            <x v="1"/>
          </reference>
        </references>
      </pivotArea>
    </chartFormat>
    <chartFormat chart="35" format="28">
      <pivotArea type="data" outline="0" fieldPosition="0">
        <references count="2">
          <reference field="4294967294" count="1" selected="0">
            <x v="0"/>
          </reference>
          <reference field="0" count="1" selected="0">
            <x v="2"/>
          </reference>
        </references>
      </pivotArea>
    </chartFormat>
    <chartFormat chart="36" format="29" series="1">
      <pivotArea type="data" outline="0" fieldPosition="0">
        <references count="1">
          <reference field="4294967294" count="1" selected="0">
            <x v="0"/>
          </reference>
        </references>
      </pivotArea>
    </chartFormat>
    <chartFormat chart="36" format="30">
      <pivotArea type="data" outline="0" fieldPosition="0">
        <references count="2">
          <reference field="4294967294" count="1" selected="0">
            <x v="0"/>
          </reference>
          <reference field="0" count="1" selected="0">
            <x v="0"/>
          </reference>
        </references>
      </pivotArea>
    </chartFormat>
    <chartFormat chart="36" format="31">
      <pivotArea type="data" outline="0" fieldPosition="0">
        <references count="2">
          <reference field="4294967294" count="1" selected="0">
            <x v="0"/>
          </reference>
          <reference field="0" count="1" selected="0">
            <x v="1"/>
          </reference>
        </references>
      </pivotArea>
    </chartFormat>
    <chartFormat chart="36" format="32">
      <pivotArea type="data" outline="0" fieldPosition="0">
        <references count="2">
          <reference field="4294967294" count="1" selected="0">
            <x v="0"/>
          </reference>
          <reference field="0" count="1" selected="0">
            <x v="2"/>
          </reference>
        </references>
      </pivotArea>
    </chartFormat>
    <chartFormat chart="37" format="29" series="1">
      <pivotArea type="data" outline="0" fieldPosition="0">
        <references count="1">
          <reference field="4294967294" count="1" selected="0">
            <x v="0"/>
          </reference>
        </references>
      </pivotArea>
    </chartFormat>
    <chartFormat chart="37" format="30">
      <pivotArea type="data" outline="0" fieldPosition="0">
        <references count="2">
          <reference field="4294967294" count="1" selected="0">
            <x v="0"/>
          </reference>
          <reference field="0" count="1" selected="0">
            <x v="0"/>
          </reference>
        </references>
      </pivotArea>
    </chartFormat>
    <chartFormat chart="37" format="31">
      <pivotArea type="data" outline="0" fieldPosition="0">
        <references count="2">
          <reference field="4294967294" count="1" selected="0">
            <x v="0"/>
          </reference>
          <reference field="0" count="1" selected="0">
            <x v="1"/>
          </reference>
        </references>
      </pivotArea>
    </chartFormat>
    <chartFormat chart="37" format="32">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0261B-1430-48EE-B754-544C9934D02A}"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9" firstHeaderRow="1" firstDataRow="1" firstDataCol="1"/>
  <pivotFields count="3">
    <pivotField axis="axisRow" showAll="0">
      <items count="6">
        <item x="0"/>
        <item x="1"/>
        <item x="2"/>
        <item x="3"/>
        <item x="4"/>
        <item t="default"/>
      </items>
    </pivotField>
    <pivotField showAll="0"/>
    <pivotField dataField="1" numFmtId="164" showAll="0">
      <items count="6">
        <item x="4"/>
        <item x="3"/>
        <item x="2"/>
        <item x="0"/>
        <item x="1"/>
        <item t="default"/>
      </items>
    </pivotField>
  </pivotFields>
  <rowFields count="1">
    <field x="0"/>
  </rowFields>
  <rowItems count="6">
    <i>
      <x/>
    </i>
    <i>
      <x v="1"/>
    </i>
    <i>
      <x v="2"/>
    </i>
    <i>
      <x v="3"/>
    </i>
    <i>
      <x v="4"/>
    </i>
    <i t="grand">
      <x/>
    </i>
  </rowItems>
  <colItems count="1">
    <i/>
  </colItems>
  <dataFields count="1">
    <dataField name="Sum of Total Revenue ($)" fld="2" baseField="0" baseItem="0" numFmtId="164"/>
  </dataFields>
  <chartFormats count="6">
    <chartFormat chart="37" format="43" series="1">
      <pivotArea type="data" outline="0" fieldPosition="0">
        <references count="1">
          <reference field="4294967294" count="1" selected="0">
            <x v="0"/>
          </reference>
        </references>
      </pivotArea>
    </chartFormat>
    <chartFormat chart="37" format="44">
      <pivotArea type="data" outline="0" fieldPosition="0">
        <references count="2">
          <reference field="4294967294" count="1" selected="0">
            <x v="0"/>
          </reference>
          <reference field="0" count="1" selected="0">
            <x v="0"/>
          </reference>
        </references>
      </pivotArea>
    </chartFormat>
    <chartFormat chart="37" format="45">
      <pivotArea type="data" outline="0" fieldPosition="0">
        <references count="2">
          <reference field="4294967294" count="1" selected="0">
            <x v="0"/>
          </reference>
          <reference field="0" count="1" selected="0">
            <x v="1"/>
          </reference>
        </references>
      </pivotArea>
    </chartFormat>
    <chartFormat chart="37" format="46">
      <pivotArea type="data" outline="0" fieldPosition="0">
        <references count="2">
          <reference field="4294967294" count="1" selected="0">
            <x v="0"/>
          </reference>
          <reference field="0" count="1" selected="0">
            <x v="2"/>
          </reference>
        </references>
      </pivotArea>
    </chartFormat>
    <chartFormat chart="37" format="47">
      <pivotArea type="data" outline="0" fieldPosition="0">
        <references count="2">
          <reference field="4294967294" count="1" selected="0">
            <x v="0"/>
          </reference>
          <reference field="0" count="1" selected="0">
            <x v="3"/>
          </reference>
        </references>
      </pivotArea>
    </chartFormat>
    <chartFormat chart="37" format="4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3665DF-A3B4-4437-BFD0-F84E6612F68D}"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3:B10" firstHeaderRow="1" firstDataRow="1" firstDataCol="1"/>
  <pivotFields count="2">
    <pivotField axis="axisRow" showAll="0">
      <items count="7">
        <item x="2"/>
        <item x="3"/>
        <item x="4"/>
        <item x="1"/>
        <item x="5"/>
        <item x="0"/>
        <item t="default"/>
      </items>
    </pivotField>
    <pivotField dataField="1" showAll="0">
      <items count="7">
        <item x="5"/>
        <item x="3"/>
        <item x="4"/>
        <item x="1"/>
        <item x="0"/>
        <item x="2"/>
        <item t="default"/>
      </items>
    </pivotField>
  </pivotFields>
  <rowFields count="1">
    <field x="0"/>
  </rowFields>
  <rowItems count="7">
    <i>
      <x/>
    </i>
    <i>
      <x v="1"/>
    </i>
    <i>
      <x v="2"/>
    </i>
    <i>
      <x v="3"/>
    </i>
    <i>
      <x v="4"/>
    </i>
    <i>
      <x v="5"/>
    </i>
    <i t="grand">
      <x/>
    </i>
  </rowItems>
  <colItems count="1">
    <i/>
  </colItems>
  <dataFields count="1">
    <dataField name="Sum of No. of Sales" fld="1" baseField="0" baseItem="0"/>
  </dataFields>
  <chartFormats count="1">
    <chartFormat chart="4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F9AB25-4FDC-4D1C-A7C0-A845C3A95183}"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0" firstHeaderRow="1" firstDataRow="1" firstDataCol="1"/>
  <pivotFields count="2">
    <pivotField axis="axisRow" showAll="0">
      <items count="7">
        <item x="2"/>
        <item x="3"/>
        <item x="4"/>
        <item x="1"/>
        <item x="5"/>
        <item x="0"/>
        <item t="default"/>
      </items>
    </pivotField>
    <pivotField dataField="1" showAll="0"/>
  </pivotFields>
  <rowFields count="1">
    <field x="0"/>
  </rowFields>
  <rowItems count="7">
    <i>
      <x/>
    </i>
    <i>
      <x v="1"/>
    </i>
    <i>
      <x v="2"/>
    </i>
    <i>
      <x v="3"/>
    </i>
    <i>
      <x v="4"/>
    </i>
    <i>
      <x v="5"/>
    </i>
    <i t="grand">
      <x/>
    </i>
  </rowItems>
  <colItems count="1">
    <i/>
  </colItems>
  <dataFields count="1">
    <dataField name="Sum of No.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B95225-2FAF-4A5C-93A7-EA1E4FD69D5C}"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D16" firstHeaderRow="0" firstDataRow="1" firstDataCol="1"/>
  <pivotFields count="4">
    <pivotField axis="axisRow" showAll="0">
      <items count="13">
        <item x="0"/>
        <item x="1"/>
        <item x="2"/>
        <item x="11"/>
        <item x="8"/>
        <item x="5"/>
        <item x="4"/>
        <item x="6"/>
        <item x="3"/>
        <item x="10"/>
        <item x="7"/>
        <item x="9"/>
        <item t="default"/>
      </items>
    </pivotField>
    <pivotField dataField="1" showAll="0"/>
    <pivotField dataField="1" numFmtId="164" showAll="0"/>
    <pivotField dataField="1" numFmtId="165" showAl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No. of Sales" fld="1" baseField="0" baseItem="0"/>
    <dataField name="Sum of Total Revenue ($)" fld="2" baseField="0" baseItem="0" numFmtId="164"/>
    <dataField name="Sum of Avg Discount (%)" fld="3" baseField="0" baseItem="0" numFmtId="165"/>
  </dataFields>
  <chartFormats count="117">
    <chartFormat chart="30" format="240" series="1">
      <pivotArea type="data" outline="0" fieldPosition="0">
        <references count="1">
          <reference field="4294967294" count="1" selected="0">
            <x v="0"/>
          </reference>
        </references>
      </pivotArea>
    </chartFormat>
    <chartFormat chart="30" format="241">
      <pivotArea type="data" outline="0" fieldPosition="0">
        <references count="2">
          <reference field="4294967294" count="1" selected="0">
            <x v="0"/>
          </reference>
          <reference field="0" count="1" selected="0">
            <x v="0"/>
          </reference>
        </references>
      </pivotArea>
    </chartFormat>
    <chartFormat chart="30" format="242">
      <pivotArea type="data" outline="0" fieldPosition="0">
        <references count="2">
          <reference field="4294967294" count="1" selected="0">
            <x v="0"/>
          </reference>
          <reference field="0" count="1" selected="0">
            <x v="1"/>
          </reference>
        </references>
      </pivotArea>
    </chartFormat>
    <chartFormat chart="30" format="243">
      <pivotArea type="data" outline="0" fieldPosition="0">
        <references count="2">
          <reference field="4294967294" count="1" selected="0">
            <x v="0"/>
          </reference>
          <reference field="0" count="1" selected="0">
            <x v="2"/>
          </reference>
        </references>
      </pivotArea>
    </chartFormat>
    <chartFormat chart="30" format="244">
      <pivotArea type="data" outline="0" fieldPosition="0">
        <references count="2">
          <reference field="4294967294" count="1" selected="0">
            <x v="0"/>
          </reference>
          <reference field="0" count="1" selected="0">
            <x v="3"/>
          </reference>
        </references>
      </pivotArea>
    </chartFormat>
    <chartFormat chart="30" format="245">
      <pivotArea type="data" outline="0" fieldPosition="0">
        <references count="2">
          <reference field="4294967294" count="1" selected="0">
            <x v="0"/>
          </reference>
          <reference field="0" count="1" selected="0">
            <x v="4"/>
          </reference>
        </references>
      </pivotArea>
    </chartFormat>
    <chartFormat chart="30" format="246">
      <pivotArea type="data" outline="0" fieldPosition="0">
        <references count="2">
          <reference field="4294967294" count="1" selected="0">
            <x v="0"/>
          </reference>
          <reference field="0" count="1" selected="0">
            <x v="5"/>
          </reference>
        </references>
      </pivotArea>
    </chartFormat>
    <chartFormat chart="30" format="247">
      <pivotArea type="data" outline="0" fieldPosition="0">
        <references count="2">
          <reference field="4294967294" count="1" selected="0">
            <x v="0"/>
          </reference>
          <reference field="0" count="1" selected="0">
            <x v="6"/>
          </reference>
        </references>
      </pivotArea>
    </chartFormat>
    <chartFormat chart="30" format="248">
      <pivotArea type="data" outline="0" fieldPosition="0">
        <references count="2">
          <reference field="4294967294" count="1" selected="0">
            <x v="0"/>
          </reference>
          <reference field="0" count="1" selected="0">
            <x v="7"/>
          </reference>
        </references>
      </pivotArea>
    </chartFormat>
    <chartFormat chart="30" format="249">
      <pivotArea type="data" outline="0" fieldPosition="0">
        <references count="2">
          <reference field="4294967294" count="1" selected="0">
            <x v="0"/>
          </reference>
          <reference field="0" count="1" selected="0">
            <x v="8"/>
          </reference>
        </references>
      </pivotArea>
    </chartFormat>
    <chartFormat chart="30" format="250">
      <pivotArea type="data" outline="0" fieldPosition="0">
        <references count="2">
          <reference field="4294967294" count="1" selected="0">
            <x v="0"/>
          </reference>
          <reference field="0" count="1" selected="0">
            <x v="9"/>
          </reference>
        </references>
      </pivotArea>
    </chartFormat>
    <chartFormat chart="30" format="251">
      <pivotArea type="data" outline="0" fieldPosition="0">
        <references count="2">
          <reference field="4294967294" count="1" selected="0">
            <x v="0"/>
          </reference>
          <reference field="0" count="1" selected="0">
            <x v="10"/>
          </reference>
        </references>
      </pivotArea>
    </chartFormat>
    <chartFormat chart="30" format="252">
      <pivotArea type="data" outline="0" fieldPosition="0">
        <references count="2">
          <reference field="4294967294" count="1" selected="0">
            <x v="0"/>
          </reference>
          <reference field="0" count="1" selected="0">
            <x v="11"/>
          </reference>
        </references>
      </pivotArea>
    </chartFormat>
    <chartFormat chart="30" format="253" series="1">
      <pivotArea type="data" outline="0" fieldPosition="0">
        <references count="1">
          <reference field="4294967294" count="1" selected="0">
            <x v="1"/>
          </reference>
        </references>
      </pivotArea>
    </chartFormat>
    <chartFormat chart="30" format="254">
      <pivotArea type="data" outline="0" fieldPosition="0">
        <references count="2">
          <reference field="4294967294" count="1" selected="0">
            <x v="1"/>
          </reference>
          <reference field="0" count="1" selected="0">
            <x v="0"/>
          </reference>
        </references>
      </pivotArea>
    </chartFormat>
    <chartFormat chart="30" format="255">
      <pivotArea type="data" outline="0" fieldPosition="0">
        <references count="2">
          <reference field="4294967294" count="1" selected="0">
            <x v="1"/>
          </reference>
          <reference field="0" count="1" selected="0">
            <x v="1"/>
          </reference>
        </references>
      </pivotArea>
    </chartFormat>
    <chartFormat chart="30" format="256">
      <pivotArea type="data" outline="0" fieldPosition="0">
        <references count="2">
          <reference field="4294967294" count="1" selected="0">
            <x v="1"/>
          </reference>
          <reference field="0" count="1" selected="0">
            <x v="2"/>
          </reference>
        </references>
      </pivotArea>
    </chartFormat>
    <chartFormat chart="30" format="257">
      <pivotArea type="data" outline="0" fieldPosition="0">
        <references count="2">
          <reference field="4294967294" count="1" selected="0">
            <x v="1"/>
          </reference>
          <reference field="0" count="1" selected="0">
            <x v="3"/>
          </reference>
        </references>
      </pivotArea>
    </chartFormat>
    <chartFormat chart="30" format="258">
      <pivotArea type="data" outline="0" fieldPosition="0">
        <references count="2">
          <reference field="4294967294" count="1" selected="0">
            <x v="1"/>
          </reference>
          <reference field="0" count="1" selected="0">
            <x v="4"/>
          </reference>
        </references>
      </pivotArea>
    </chartFormat>
    <chartFormat chart="30" format="259">
      <pivotArea type="data" outline="0" fieldPosition="0">
        <references count="2">
          <reference field="4294967294" count="1" selected="0">
            <x v="1"/>
          </reference>
          <reference field="0" count="1" selected="0">
            <x v="5"/>
          </reference>
        </references>
      </pivotArea>
    </chartFormat>
    <chartFormat chart="30" format="260">
      <pivotArea type="data" outline="0" fieldPosition="0">
        <references count="2">
          <reference field="4294967294" count="1" selected="0">
            <x v="1"/>
          </reference>
          <reference field="0" count="1" selected="0">
            <x v="6"/>
          </reference>
        </references>
      </pivotArea>
    </chartFormat>
    <chartFormat chart="30" format="261">
      <pivotArea type="data" outline="0" fieldPosition="0">
        <references count="2">
          <reference field="4294967294" count="1" selected="0">
            <x v="1"/>
          </reference>
          <reference field="0" count="1" selected="0">
            <x v="7"/>
          </reference>
        </references>
      </pivotArea>
    </chartFormat>
    <chartFormat chart="30" format="262">
      <pivotArea type="data" outline="0" fieldPosition="0">
        <references count="2">
          <reference field="4294967294" count="1" selected="0">
            <x v="1"/>
          </reference>
          <reference field="0" count="1" selected="0">
            <x v="8"/>
          </reference>
        </references>
      </pivotArea>
    </chartFormat>
    <chartFormat chart="30" format="263">
      <pivotArea type="data" outline="0" fieldPosition="0">
        <references count="2">
          <reference field="4294967294" count="1" selected="0">
            <x v="1"/>
          </reference>
          <reference field="0" count="1" selected="0">
            <x v="9"/>
          </reference>
        </references>
      </pivotArea>
    </chartFormat>
    <chartFormat chart="30" format="264">
      <pivotArea type="data" outline="0" fieldPosition="0">
        <references count="2">
          <reference field="4294967294" count="1" selected="0">
            <x v="1"/>
          </reference>
          <reference field="0" count="1" selected="0">
            <x v="10"/>
          </reference>
        </references>
      </pivotArea>
    </chartFormat>
    <chartFormat chart="30" format="265">
      <pivotArea type="data" outline="0" fieldPosition="0">
        <references count="2">
          <reference field="4294967294" count="1" selected="0">
            <x v="1"/>
          </reference>
          <reference field="0" count="1" selected="0">
            <x v="11"/>
          </reference>
        </references>
      </pivotArea>
    </chartFormat>
    <chartFormat chart="30" format="266" series="1">
      <pivotArea type="data" outline="0" fieldPosition="0">
        <references count="1">
          <reference field="4294967294" count="1" selected="0">
            <x v="2"/>
          </reference>
        </references>
      </pivotArea>
    </chartFormat>
    <chartFormat chart="30" format="267">
      <pivotArea type="data" outline="0" fieldPosition="0">
        <references count="2">
          <reference field="4294967294" count="1" selected="0">
            <x v="2"/>
          </reference>
          <reference field="0" count="1" selected="0">
            <x v="0"/>
          </reference>
        </references>
      </pivotArea>
    </chartFormat>
    <chartFormat chart="30" format="268">
      <pivotArea type="data" outline="0" fieldPosition="0">
        <references count="2">
          <reference field="4294967294" count="1" selected="0">
            <x v="2"/>
          </reference>
          <reference field="0" count="1" selected="0">
            <x v="1"/>
          </reference>
        </references>
      </pivotArea>
    </chartFormat>
    <chartFormat chart="30" format="269">
      <pivotArea type="data" outline="0" fieldPosition="0">
        <references count="2">
          <reference field="4294967294" count="1" selected="0">
            <x v="2"/>
          </reference>
          <reference field="0" count="1" selected="0">
            <x v="2"/>
          </reference>
        </references>
      </pivotArea>
    </chartFormat>
    <chartFormat chart="30" format="270">
      <pivotArea type="data" outline="0" fieldPosition="0">
        <references count="2">
          <reference field="4294967294" count="1" selected="0">
            <x v="2"/>
          </reference>
          <reference field="0" count="1" selected="0">
            <x v="3"/>
          </reference>
        </references>
      </pivotArea>
    </chartFormat>
    <chartFormat chart="30" format="271">
      <pivotArea type="data" outline="0" fieldPosition="0">
        <references count="2">
          <reference field="4294967294" count="1" selected="0">
            <x v="2"/>
          </reference>
          <reference field="0" count="1" selected="0">
            <x v="4"/>
          </reference>
        </references>
      </pivotArea>
    </chartFormat>
    <chartFormat chart="30" format="272">
      <pivotArea type="data" outline="0" fieldPosition="0">
        <references count="2">
          <reference field="4294967294" count="1" selected="0">
            <x v="2"/>
          </reference>
          <reference field="0" count="1" selected="0">
            <x v="5"/>
          </reference>
        </references>
      </pivotArea>
    </chartFormat>
    <chartFormat chart="30" format="273">
      <pivotArea type="data" outline="0" fieldPosition="0">
        <references count="2">
          <reference field="4294967294" count="1" selected="0">
            <x v="2"/>
          </reference>
          <reference field="0" count="1" selected="0">
            <x v="6"/>
          </reference>
        </references>
      </pivotArea>
    </chartFormat>
    <chartFormat chart="30" format="274">
      <pivotArea type="data" outline="0" fieldPosition="0">
        <references count="2">
          <reference field="4294967294" count="1" selected="0">
            <x v="2"/>
          </reference>
          <reference field="0" count="1" selected="0">
            <x v="7"/>
          </reference>
        </references>
      </pivotArea>
    </chartFormat>
    <chartFormat chart="30" format="275">
      <pivotArea type="data" outline="0" fieldPosition="0">
        <references count="2">
          <reference field="4294967294" count="1" selected="0">
            <x v="2"/>
          </reference>
          <reference field="0" count="1" selected="0">
            <x v="8"/>
          </reference>
        </references>
      </pivotArea>
    </chartFormat>
    <chartFormat chart="30" format="276">
      <pivotArea type="data" outline="0" fieldPosition="0">
        <references count="2">
          <reference field="4294967294" count="1" selected="0">
            <x v="2"/>
          </reference>
          <reference field="0" count="1" selected="0">
            <x v="9"/>
          </reference>
        </references>
      </pivotArea>
    </chartFormat>
    <chartFormat chart="30" format="277">
      <pivotArea type="data" outline="0" fieldPosition="0">
        <references count="2">
          <reference field="4294967294" count="1" selected="0">
            <x v="2"/>
          </reference>
          <reference field="0" count="1" selected="0">
            <x v="10"/>
          </reference>
        </references>
      </pivotArea>
    </chartFormat>
    <chartFormat chart="30" format="278">
      <pivotArea type="data" outline="0" fieldPosition="0">
        <references count="2">
          <reference field="4294967294" count="1" selected="0">
            <x v="2"/>
          </reference>
          <reference field="0" count="1" selected="0">
            <x v="11"/>
          </reference>
        </references>
      </pivotArea>
    </chartFormat>
    <chartFormat chart="31" format="279" series="1">
      <pivotArea type="data" outline="0" fieldPosition="0">
        <references count="1">
          <reference field="4294967294" count="1" selected="0">
            <x v="0"/>
          </reference>
        </references>
      </pivotArea>
    </chartFormat>
    <chartFormat chart="31" format="280">
      <pivotArea type="data" outline="0" fieldPosition="0">
        <references count="2">
          <reference field="4294967294" count="1" selected="0">
            <x v="0"/>
          </reference>
          <reference field="0" count="1" selected="0">
            <x v="0"/>
          </reference>
        </references>
      </pivotArea>
    </chartFormat>
    <chartFormat chart="31" format="281">
      <pivotArea type="data" outline="0" fieldPosition="0">
        <references count="2">
          <reference field="4294967294" count="1" selected="0">
            <x v="0"/>
          </reference>
          <reference field="0" count="1" selected="0">
            <x v="1"/>
          </reference>
        </references>
      </pivotArea>
    </chartFormat>
    <chartFormat chart="31" format="282">
      <pivotArea type="data" outline="0" fieldPosition="0">
        <references count="2">
          <reference field="4294967294" count="1" selected="0">
            <x v="0"/>
          </reference>
          <reference field="0" count="1" selected="0">
            <x v="2"/>
          </reference>
        </references>
      </pivotArea>
    </chartFormat>
    <chartFormat chart="31" format="283">
      <pivotArea type="data" outline="0" fieldPosition="0">
        <references count="2">
          <reference field="4294967294" count="1" selected="0">
            <x v="0"/>
          </reference>
          <reference field="0" count="1" selected="0">
            <x v="3"/>
          </reference>
        </references>
      </pivotArea>
    </chartFormat>
    <chartFormat chart="31" format="284">
      <pivotArea type="data" outline="0" fieldPosition="0">
        <references count="2">
          <reference field="4294967294" count="1" selected="0">
            <x v="0"/>
          </reference>
          <reference field="0" count="1" selected="0">
            <x v="4"/>
          </reference>
        </references>
      </pivotArea>
    </chartFormat>
    <chartFormat chart="31" format="285">
      <pivotArea type="data" outline="0" fieldPosition="0">
        <references count="2">
          <reference field="4294967294" count="1" selected="0">
            <x v="0"/>
          </reference>
          <reference field="0" count="1" selected="0">
            <x v="5"/>
          </reference>
        </references>
      </pivotArea>
    </chartFormat>
    <chartFormat chart="31" format="286">
      <pivotArea type="data" outline="0" fieldPosition="0">
        <references count="2">
          <reference field="4294967294" count="1" selected="0">
            <x v="0"/>
          </reference>
          <reference field="0" count="1" selected="0">
            <x v="6"/>
          </reference>
        </references>
      </pivotArea>
    </chartFormat>
    <chartFormat chart="31" format="287">
      <pivotArea type="data" outline="0" fieldPosition="0">
        <references count="2">
          <reference field="4294967294" count="1" selected="0">
            <x v="0"/>
          </reference>
          <reference field="0" count="1" selected="0">
            <x v="7"/>
          </reference>
        </references>
      </pivotArea>
    </chartFormat>
    <chartFormat chart="31" format="288">
      <pivotArea type="data" outline="0" fieldPosition="0">
        <references count="2">
          <reference field="4294967294" count="1" selected="0">
            <x v="0"/>
          </reference>
          <reference field="0" count="1" selected="0">
            <x v="8"/>
          </reference>
        </references>
      </pivotArea>
    </chartFormat>
    <chartFormat chart="31" format="289">
      <pivotArea type="data" outline="0" fieldPosition="0">
        <references count="2">
          <reference field="4294967294" count="1" selected="0">
            <x v="0"/>
          </reference>
          <reference field="0" count="1" selected="0">
            <x v="9"/>
          </reference>
        </references>
      </pivotArea>
    </chartFormat>
    <chartFormat chart="31" format="290">
      <pivotArea type="data" outline="0" fieldPosition="0">
        <references count="2">
          <reference field="4294967294" count="1" selected="0">
            <x v="0"/>
          </reference>
          <reference field="0" count="1" selected="0">
            <x v="10"/>
          </reference>
        </references>
      </pivotArea>
    </chartFormat>
    <chartFormat chart="31" format="291">
      <pivotArea type="data" outline="0" fieldPosition="0">
        <references count="2">
          <reference field="4294967294" count="1" selected="0">
            <x v="0"/>
          </reference>
          <reference field="0" count="1" selected="0">
            <x v="11"/>
          </reference>
        </references>
      </pivotArea>
    </chartFormat>
    <chartFormat chart="31" format="292" series="1">
      <pivotArea type="data" outline="0" fieldPosition="0">
        <references count="1">
          <reference field="4294967294" count="1" selected="0">
            <x v="1"/>
          </reference>
        </references>
      </pivotArea>
    </chartFormat>
    <chartFormat chart="31" format="293">
      <pivotArea type="data" outline="0" fieldPosition="0">
        <references count="2">
          <reference field="4294967294" count="1" selected="0">
            <x v="1"/>
          </reference>
          <reference field="0" count="1" selected="0">
            <x v="0"/>
          </reference>
        </references>
      </pivotArea>
    </chartFormat>
    <chartFormat chart="31" format="294">
      <pivotArea type="data" outline="0" fieldPosition="0">
        <references count="2">
          <reference field="4294967294" count="1" selected="0">
            <x v="1"/>
          </reference>
          <reference field="0" count="1" selected="0">
            <x v="1"/>
          </reference>
        </references>
      </pivotArea>
    </chartFormat>
    <chartFormat chart="31" format="295">
      <pivotArea type="data" outline="0" fieldPosition="0">
        <references count="2">
          <reference field="4294967294" count="1" selected="0">
            <x v="1"/>
          </reference>
          <reference field="0" count="1" selected="0">
            <x v="2"/>
          </reference>
        </references>
      </pivotArea>
    </chartFormat>
    <chartFormat chart="31" format="296">
      <pivotArea type="data" outline="0" fieldPosition="0">
        <references count="2">
          <reference field="4294967294" count="1" selected="0">
            <x v="1"/>
          </reference>
          <reference field="0" count="1" selected="0">
            <x v="3"/>
          </reference>
        </references>
      </pivotArea>
    </chartFormat>
    <chartFormat chart="31" format="297">
      <pivotArea type="data" outline="0" fieldPosition="0">
        <references count="2">
          <reference field="4294967294" count="1" selected="0">
            <x v="1"/>
          </reference>
          <reference field="0" count="1" selected="0">
            <x v="4"/>
          </reference>
        </references>
      </pivotArea>
    </chartFormat>
    <chartFormat chart="31" format="298">
      <pivotArea type="data" outline="0" fieldPosition="0">
        <references count="2">
          <reference field="4294967294" count="1" selected="0">
            <x v="1"/>
          </reference>
          <reference field="0" count="1" selected="0">
            <x v="5"/>
          </reference>
        </references>
      </pivotArea>
    </chartFormat>
    <chartFormat chart="31" format="299">
      <pivotArea type="data" outline="0" fieldPosition="0">
        <references count="2">
          <reference field="4294967294" count="1" selected="0">
            <x v="1"/>
          </reference>
          <reference field="0" count="1" selected="0">
            <x v="6"/>
          </reference>
        </references>
      </pivotArea>
    </chartFormat>
    <chartFormat chart="31" format="300">
      <pivotArea type="data" outline="0" fieldPosition="0">
        <references count="2">
          <reference field="4294967294" count="1" selected="0">
            <x v="1"/>
          </reference>
          <reference field="0" count="1" selected="0">
            <x v="7"/>
          </reference>
        </references>
      </pivotArea>
    </chartFormat>
    <chartFormat chart="31" format="301">
      <pivotArea type="data" outline="0" fieldPosition="0">
        <references count="2">
          <reference field="4294967294" count="1" selected="0">
            <x v="1"/>
          </reference>
          <reference field="0" count="1" selected="0">
            <x v="8"/>
          </reference>
        </references>
      </pivotArea>
    </chartFormat>
    <chartFormat chart="31" format="302">
      <pivotArea type="data" outline="0" fieldPosition="0">
        <references count="2">
          <reference field="4294967294" count="1" selected="0">
            <x v="1"/>
          </reference>
          <reference field="0" count="1" selected="0">
            <x v="9"/>
          </reference>
        </references>
      </pivotArea>
    </chartFormat>
    <chartFormat chart="31" format="303">
      <pivotArea type="data" outline="0" fieldPosition="0">
        <references count="2">
          <reference field="4294967294" count="1" selected="0">
            <x v="1"/>
          </reference>
          <reference field="0" count="1" selected="0">
            <x v="10"/>
          </reference>
        </references>
      </pivotArea>
    </chartFormat>
    <chartFormat chart="31" format="304">
      <pivotArea type="data" outline="0" fieldPosition="0">
        <references count="2">
          <reference field="4294967294" count="1" selected="0">
            <x v="1"/>
          </reference>
          <reference field="0" count="1" selected="0">
            <x v="11"/>
          </reference>
        </references>
      </pivotArea>
    </chartFormat>
    <chartFormat chart="31" format="305" series="1">
      <pivotArea type="data" outline="0" fieldPosition="0">
        <references count="1">
          <reference field="4294967294" count="1" selected="0">
            <x v="2"/>
          </reference>
        </references>
      </pivotArea>
    </chartFormat>
    <chartFormat chart="31" format="306">
      <pivotArea type="data" outline="0" fieldPosition="0">
        <references count="2">
          <reference field="4294967294" count="1" selected="0">
            <x v="2"/>
          </reference>
          <reference field="0" count="1" selected="0">
            <x v="0"/>
          </reference>
        </references>
      </pivotArea>
    </chartFormat>
    <chartFormat chart="31" format="307">
      <pivotArea type="data" outline="0" fieldPosition="0">
        <references count="2">
          <reference field="4294967294" count="1" selected="0">
            <x v="2"/>
          </reference>
          <reference field="0" count="1" selected="0">
            <x v="1"/>
          </reference>
        </references>
      </pivotArea>
    </chartFormat>
    <chartFormat chart="31" format="308">
      <pivotArea type="data" outline="0" fieldPosition="0">
        <references count="2">
          <reference field="4294967294" count="1" selected="0">
            <x v="2"/>
          </reference>
          <reference field="0" count="1" selected="0">
            <x v="2"/>
          </reference>
        </references>
      </pivotArea>
    </chartFormat>
    <chartFormat chart="31" format="309">
      <pivotArea type="data" outline="0" fieldPosition="0">
        <references count="2">
          <reference field="4294967294" count="1" selected="0">
            <x v="2"/>
          </reference>
          <reference field="0" count="1" selected="0">
            <x v="3"/>
          </reference>
        </references>
      </pivotArea>
    </chartFormat>
    <chartFormat chart="31" format="310">
      <pivotArea type="data" outline="0" fieldPosition="0">
        <references count="2">
          <reference field="4294967294" count="1" selected="0">
            <x v="2"/>
          </reference>
          <reference field="0" count="1" selected="0">
            <x v="4"/>
          </reference>
        </references>
      </pivotArea>
    </chartFormat>
    <chartFormat chart="31" format="311">
      <pivotArea type="data" outline="0" fieldPosition="0">
        <references count="2">
          <reference field="4294967294" count="1" selected="0">
            <x v="2"/>
          </reference>
          <reference field="0" count="1" selected="0">
            <x v="5"/>
          </reference>
        </references>
      </pivotArea>
    </chartFormat>
    <chartFormat chart="31" format="312">
      <pivotArea type="data" outline="0" fieldPosition="0">
        <references count="2">
          <reference field="4294967294" count="1" selected="0">
            <x v="2"/>
          </reference>
          <reference field="0" count="1" selected="0">
            <x v="6"/>
          </reference>
        </references>
      </pivotArea>
    </chartFormat>
    <chartFormat chart="31" format="313">
      <pivotArea type="data" outline="0" fieldPosition="0">
        <references count="2">
          <reference field="4294967294" count="1" selected="0">
            <x v="2"/>
          </reference>
          <reference field="0" count="1" selected="0">
            <x v="7"/>
          </reference>
        </references>
      </pivotArea>
    </chartFormat>
    <chartFormat chart="31" format="314">
      <pivotArea type="data" outline="0" fieldPosition="0">
        <references count="2">
          <reference field="4294967294" count="1" selected="0">
            <x v="2"/>
          </reference>
          <reference field="0" count="1" selected="0">
            <x v="8"/>
          </reference>
        </references>
      </pivotArea>
    </chartFormat>
    <chartFormat chart="31" format="315">
      <pivotArea type="data" outline="0" fieldPosition="0">
        <references count="2">
          <reference field="4294967294" count="1" selected="0">
            <x v="2"/>
          </reference>
          <reference field="0" count="1" selected="0">
            <x v="9"/>
          </reference>
        </references>
      </pivotArea>
    </chartFormat>
    <chartFormat chart="31" format="316">
      <pivotArea type="data" outline="0" fieldPosition="0">
        <references count="2">
          <reference field="4294967294" count="1" selected="0">
            <x v="2"/>
          </reference>
          <reference field="0" count="1" selected="0">
            <x v="10"/>
          </reference>
        </references>
      </pivotArea>
    </chartFormat>
    <chartFormat chart="31" format="317">
      <pivotArea type="data" outline="0" fieldPosition="0">
        <references count="2">
          <reference field="4294967294" count="1" selected="0">
            <x v="2"/>
          </reference>
          <reference field="0" count="1" selected="0">
            <x v="11"/>
          </reference>
        </references>
      </pivotArea>
    </chartFormat>
    <chartFormat chart="36" format="279" series="1">
      <pivotArea type="data" outline="0" fieldPosition="0">
        <references count="1">
          <reference field="4294967294" count="1" selected="0">
            <x v="0"/>
          </reference>
        </references>
      </pivotArea>
    </chartFormat>
    <chartFormat chart="36" format="280">
      <pivotArea type="data" outline="0" fieldPosition="0">
        <references count="2">
          <reference field="4294967294" count="1" selected="0">
            <x v="0"/>
          </reference>
          <reference field="0" count="1" selected="0">
            <x v="0"/>
          </reference>
        </references>
      </pivotArea>
    </chartFormat>
    <chartFormat chart="36" format="281">
      <pivotArea type="data" outline="0" fieldPosition="0">
        <references count="2">
          <reference field="4294967294" count="1" selected="0">
            <x v="0"/>
          </reference>
          <reference field="0" count="1" selected="0">
            <x v="1"/>
          </reference>
        </references>
      </pivotArea>
    </chartFormat>
    <chartFormat chart="36" format="282">
      <pivotArea type="data" outline="0" fieldPosition="0">
        <references count="2">
          <reference field="4294967294" count="1" selected="0">
            <x v="0"/>
          </reference>
          <reference field="0" count="1" selected="0">
            <x v="2"/>
          </reference>
        </references>
      </pivotArea>
    </chartFormat>
    <chartFormat chart="36" format="283">
      <pivotArea type="data" outline="0" fieldPosition="0">
        <references count="2">
          <reference field="4294967294" count="1" selected="0">
            <x v="0"/>
          </reference>
          <reference field="0" count="1" selected="0">
            <x v="3"/>
          </reference>
        </references>
      </pivotArea>
    </chartFormat>
    <chartFormat chart="36" format="284">
      <pivotArea type="data" outline="0" fieldPosition="0">
        <references count="2">
          <reference field="4294967294" count="1" selected="0">
            <x v="0"/>
          </reference>
          <reference field="0" count="1" selected="0">
            <x v="4"/>
          </reference>
        </references>
      </pivotArea>
    </chartFormat>
    <chartFormat chart="36" format="285">
      <pivotArea type="data" outline="0" fieldPosition="0">
        <references count="2">
          <reference field="4294967294" count="1" selected="0">
            <x v="0"/>
          </reference>
          <reference field="0" count="1" selected="0">
            <x v="5"/>
          </reference>
        </references>
      </pivotArea>
    </chartFormat>
    <chartFormat chart="36" format="286">
      <pivotArea type="data" outline="0" fieldPosition="0">
        <references count="2">
          <reference field="4294967294" count="1" selected="0">
            <x v="0"/>
          </reference>
          <reference field="0" count="1" selected="0">
            <x v="6"/>
          </reference>
        </references>
      </pivotArea>
    </chartFormat>
    <chartFormat chart="36" format="287">
      <pivotArea type="data" outline="0" fieldPosition="0">
        <references count="2">
          <reference field="4294967294" count="1" selected="0">
            <x v="0"/>
          </reference>
          <reference field="0" count="1" selected="0">
            <x v="7"/>
          </reference>
        </references>
      </pivotArea>
    </chartFormat>
    <chartFormat chart="36" format="288">
      <pivotArea type="data" outline="0" fieldPosition="0">
        <references count="2">
          <reference field="4294967294" count="1" selected="0">
            <x v="0"/>
          </reference>
          <reference field="0" count="1" selected="0">
            <x v="8"/>
          </reference>
        </references>
      </pivotArea>
    </chartFormat>
    <chartFormat chart="36" format="289">
      <pivotArea type="data" outline="0" fieldPosition="0">
        <references count="2">
          <reference field="4294967294" count="1" selected="0">
            <x v="0"/>
          </reference>
          <reference field="0" count="1" selected="0">
            <x v="9"/>
          </reference>
        </references>
      </pivotArea>
    </chartFormat>
    <chartFormat chart="36" format="290">
      <pivotArea type="data" outline="0" fieldPosition="0">
        <references count="2">
          <reference field="4294967294" count="1" selected="0">
            <x v="0"/>
          </reference>
          <reference field="0" count="1" selected="0">
            <x v="10"/>
          </reference>
        </references>
      </pivotArea>
    </chartFormat>
    <chartFormat chart="36" format="291">
      <pivotArea type="data" outline="0" fieldPosition="0">
        <references count="2">
          <reference field="4294967294" count="1" selected="0">
            <x v="0"/>
          </reference>
          <reference field="0" count="1" selected="0">
            <x v="11"/>
          </reference>
        </references>
      </pivotArea>
    </chartFormat>
    <chartFormat chart="36" format="292" series="1">
      <pivotArea type="data" outline="0" fieldPosition="0">
        <references count="1">
          <reference field="4294967294" count="1" selected="0">
            <x v="1"/>
          </reference>
        </references>
      </pivotArea>
    </chartFormat>
    <chartFormat chart="36" format="293">
      <pivotArea type="data" outline="0" fieldPosition="0">
        <references count="2">
          <reference field="4294967294" count="1" selected="0">
            <x v="1"/>
          </reference>
          <reference field="0" count="1" selected="0">
            <x v="0"/>
          </reference>
        </references>
      </pivotArea>
    </chartFormat>
    <chartFormat chart="36" format="294">
      <pivotArea type="data" outline="0" fieldPosition="0">
        <references count="2">
          <reference field="4294967294" count="1" selected="0">
            <x v="1"/>
          </reference>
          <reference field="0" count="1" selected="0">
            <x v="1"/>
          </reference>
        </references>
      </pivotArea>
    </chartFormat>
    <chartFormat chart="36" format="295">
      <pivotArea type="data" outline="0" fieldPosition="0">
        <references count="2">
          <reference field="4294967294" count="1" selected="0">
            <x v="1"/>
          </reference>
          <reference field="0" count="1" selected="0">
            <x v="2"/>
          </reference>
        </references>
      </pivotArea>
    </chartFormat>
    <chartFormat chart="36" format="296">
      <pivotArea type="data" outline="0" fieldPosition="0">
        <references count="2">
          <reference field="4294967294" count="1" selected="0">
            <x v="1"/>
          </reference>
          <reference field="0" count="1" selected="0">
            <x v="3"/>
          </reference>
        </references>
      </pivotArea>
    </chartFormat>
    <chartFormat chart="36" format="297">
      <pivotArea type="data" outline="0" fieldPosition="0">
        <references count="2">
          <reference field="4294967294" count="1" selected="0">
            <x v="1"/>
          </reference>
          <reference field="0" count="1" selected="0">
            <x v="4"/>
          </reference>
        </references>
      </pivotArea>
    </chartFormat>
    <chartFormat chart="36" format="298">
      <pivotArea type="data" outline="0" fieldPosition="0">
        <references count="2">
          <reference field="4294967294" count="1" selected="0">
            <x v="1"/>
          </reference>
          <reference field="0" count="1" selected="0">
            <x v="5"/>
          </reference>
        </references>
      </pivotArea>
    </chartFormat>
    <chartFormat chart="36" format="299">
      <pivotArea type="data" outline="0" fieldPosition="0">
        <references count="2">
          <reference field="4294967294" count="1" selected="0">
            <x v="1"/>
          </reference>
          <reference field="0" count="1" selected="0">
            <x v="6"/>
          </reference>
        </references>
      </pivotArea>
    </chartFormat>
    <chartFormat chart="36" format="300">
      <pivotArea type="data" outline="0" fieldPosition="0">
        <references count="2">
          <reference field="4294967294" count="1" selected="0">
            <x v="1"/>
          </reference>
          <reference field="0" count="1" selected="0">
            <x v="7"/>
          </reference>
        </references>
      </pivotArea>
    </chartFormat>
    <chartFormat chart="36" format="301">
      <pivotArea type="data" outline="0" fieldPosition="0">
        <references count="2">
          <reference field="4294967294" count="1" selected="0">
            <x v="1"/>
          </reference>
          <reference field="0" count="1" selected="0">
            <x v="8"/>
          </reference>
        </references>
      </pivotArea>
    </chartFormat>
    <chartFormat chart="36" format="302">
      <pivotArea type="data" outline="0" fieldPosition="0">
        <references count="2">
          <reference field="4294967294" count="1" selected="0">
            <x v="1"/>
          </reference>
          <reference field="0" count="1" selected="0">
            <x v="9"/>
          </reference>
        </references>
      </pivotArea>
    </chartFormat>
    <chartFormat chart="36" format="303">
      <pivotArea type="data" outline="0" fieldPosition="0">
        <references count="2">
          <reference field="4294967294" count="1" selected="0">
            <x v="1"/>
          </reference>
          <reference field="0" count="1" selected="0">
            <x v="10"/>
          </reference>
        </references>
      </pivotArea>
    </chartFormat>
    <chartFormat chart="36" format="304">
      <pivotArea type="data" outline="0" fieldPosition="0">
        <references count="2">
          <reference field="4294967294" count="1" selected="0">
            <x v="1"/>
          </reference>
          <reference field="0" count="1" selected="0">
            <x v="11"/>
          </reference>
        </references>
      </pivotArea>
    </chartFormat>
    <chartFormat chart="36" format="305" series="1">
      <pivotArea type="data" outline="0" fieldPosition="0">
        <references count="1">
          <reference field="4294967294" count="1" selected="0">
            <x v="2"/>
          </reference>
        </references>
      </pivotArea>
    </chartFormat>
    <chartFormat chart="36" format="306">
      <pivotArea type="data" outline="0" fieldPosition="0">
        <references count="2">
          <reference field="4294967294" count="1" selected="0">
            <x v="2"/>
          </reference>
          <reference field="0" count="1" selected="0">
            <x v="0"/>
          </reference>
        </references>
      </pivotArea>
    </chartFormat>
    <chartFormat chart="36" format="307">
      <pivotArea type="data" outline="0" fieldPosition="0">
        <references count="2">
          <reference field="4294967294" count="1" selected="0">
            <x v="2"/>
          </reference>
          <reference field="0" count="1" selected="0">
            <x v="1"/>
          </reference>
        </references>
      </pivotArea>
    </chartFormat>
    <chartFormat chart="36" format="308">
      <pivotArea type="data" outline="0" fieldPosition="0">
        <references count="2">
          <reference field="4294967294" count="1" selected="0">
            <x v="2"/>
          </reference>
          <reference field="0" count="1" selected="0">
            <x v="2"/>
          </reference>
        </references>
      </pivotArea>
    </chartFormat>
    <chartFormat chart="36" format="309">
      <pivotArea type="data" outline="0" fieldPosition="0">
        <references count="2">
          <reference field="4294967294" count="1" selected="0">
            <x v="2"/>
          </reference>
          <reference field="0" count="1" selected="0">
            <x v="3"/>
          </reference>
        </references>
      </pivotArea>
    </chartFormat>
    <chartFormat chart="36" format="310">
      <pivotArea type="data" outline="0" fieldPosition="0">
        <references count="2">
          <reference field="4294967294" count="1" selected="0">
            <x v="2"/>
          </reference>
          <reference field="0" count="1" selected="0">
            <x v="4"/>
          </reference>
        </references>
      </pivotArea>
    </chartFormat>
    <chartFormat chart="36" format="311">
      <pivotArea type="data" outline="0" fieldPosition="0">
        <references count="2">
          <reference field="4294967294" count="1" selected="0">
            <x v="2"/>
          </reference>
          <reference field="0" count="1" selected="0">
            <x v="5"/>
          </reference>
        </references>
      </pivotArea>
    </chartFormat>
    <chartFormat chart="36" format="312">
      <pivotArea type="data" outline="0" fieldPosition="0">
        <references count="2">
          <reference field="4294967294" count="1" selected="0">
            <x v="2"/>
          </reference>
          <reference field="0" count="1" selected="0">
            <x v="6"/>
          </reference>
        </references>
      </pivotArea>
    </chartFormat>
    <chartFormat chart="36" format="313">
      <pivotArea type="data" outline="0" fieldPosition="0">
        <references count="2">
          <reference field="4294967294" count="1" selected="0">
            <x v="2"/>
          </reference>
          <reference field="0" count="1" selected="0">
            <x v="7"/>
          </reference>
        </references>
      </pivotArea>
    </chartFormat>
    <chartFormat chart="36" format="314">
      <pivotArea type="data" outline="0" fieldPosition="0">
        <references count="2">
          <reference field="4294967294" count="1" selected="0">
            <x v="2"/>
          </reference>
          <reference field="0" count="1" selected="0">
            <x v="8"/>
          </reference>
        </references>
      </pivotArea>
    </chartFormat>
    <chartFormat chart="36" format="315">
      <pivotArea type="data" outline="0" fieldPosition="0">
        <references count="2">
          <reference field="4294967294" count="1" selected="0">
            <x v="2"/>
          </reference>
          <reference field="0" count="1" selected="0">
            <x v="9"/>
          </reference>
        </references>
      </pivotArea>
    </chartFormat>
    <chartFormat chart="36" format="316">
      <pivotArea type="data" outline="0" fieldPosition="0">
        <references count="2">
          <reference field="4294967294" count="1" selected="0">
            <x v="2"/>
          </reference>
          <reference field="0" count="1" selected="0">
            <x v="10"/>
          </reference>
        </references>
      </pivotArea>
    </chartFormat>
    <chartFormat chart="36" format="317">
      <pivotArea type="data" outline="0" fieldPosition="0">
        <references count="2">
          <reference field="4294967294" count="1" selected="0">
            <x v="2"/>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F7CC49-ECDC-449B-A043-A951BB4CEE19}" name="PivotTable2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3:I22" firstHeaderRow="0" firstDataRow="1" firstDataCol="1"/>
  <pivotFields count="9">
    <pivotField axis="axisRow" showAll="0">
      <items count="19">
        <item x="9"/>
        <item x="16"/>
        <item x="2"/>
        <item x="0"/>
        <item x="13"/>
        <item x="6"/>
        <item x="1"/>
        <item x="15"/>
        <item x="11"/>
        <item x="10"/>
        <item x="4"/>
        <item x="12"/>
        <item x="8"/>
        <item x="3"/>
        <item x="7"/>
        <item x="17"/>
        <item x="5"/>
        <item x="14"/>
        <item t="default"/>
      </items>
    </pivotField>
    <pivotField dataField="1" showAll="0">
      <items count="10">
        <item x="4"/>
        <item x="0"/>
        <item x="3"/>
        <item x="5"/>
        <item x="8"/>
        <item x="2"/>
        <item x="1"/>
        <item x="7"/>
        <item x="6"/>
        <item t="default"/>
      </items>
    </pivotField>
    <pivotField dataField="1" showAll="0">
      <items count="12">
        <item x="6"/>
        <item x="0"/>
        <item x="1"/>
        <item x="3"/>
        <item x="4"/>
        <item x="8"/>
        <item x="7"/>
        <item x="2"/>
        <item x="9"/>
        <item x="10"/>
        <item x="5"/>
        <item t="default"/>
      </items>
    </pivotField>
    <pivotField dataField="1" showAll="0">
      <items count="8">
        <item x="4"/>
        <item x="0"/>
        <item x="1"/>
        <item x="5"/>
        <item x="6"/>
        <item x="3"/>
        <item x="2"/>
        <item t="default"/>
      </items>
    </pivotField>
    <pivotField dataField="1" showAll="0">
      <items count="12">
        <item x="3"/>
        <item x="8"/>
        <item x="10"/>
        <item x="0"/>
        <item x="7"/>
        <item x="2"/>
        <item x="6"/>
        <item x="1"/>
        <item x="4"/>
        <item x="9"/>
        <item x="5"/>
        <item t="default"/>
      </items>
    </pivotField>
    <pivotField dataField="1" showAll="0">
      <items count="11">
        <item x="2"/>
        <item x="3"/>
        <item x="7"/>
        <item x="9"/>
        <item x="0"/>
        <item x="8"/>
        <item x="1"/>
        <item x="4"/>
        <item x="6"/>
        <item x="5"/>
        <item t="default"/>
      </items>
    </pivotField>
    <pivotField dataField="1" showAll="0">
      <items count="9">
        <item x="1"/>
        <item x="2"/>
        <item x="0"/>
        <item x="6"/>
        <item x="7"/>
        <item x="4"/>
        <item x="5"/>
        <item x="3"/>
        <item t="default"/>
      </items>
    </pivotField>
    <pivotField dataField="1" showAll="0">
      <items count="12">
        <item x="7"/>
        <item x="10"/>
        <item x="6"/>
        <item x="0"/>
        <item x="5"/>
        <item x="4"/>
        <item x="2"/>
        <item x="1"/>
        <item x="9"/>
        <item x="8"/>
        <item x="3"/>
        <item t="default"/>
      </items>
    </pivotField>
    <pivotField dataField="1" showAll="0">
      <items count="17">
        <item x="8"/>
        <item x="9"/>
        <item x="0"/>
        <item x="13"/>
        <item x="5"/>
        <item x="10"/>
        <item x="1"/>
        <item x="15"/>
        <item x="3"/>
        <item x="4"/>
        <item x="12"/>
        <item x="6"/>
        <item x="2"/>
        <item x="11"/>
        <item x="14"/>
        <item x="7"/>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8">
    <i>
      <x/>
    </i>
    <i i="1">
      <x v="1"/>
    </i>
    <i i="2">
      <x v="2"/>
    </i>
    <i i="3">
      <x v="3"/>
    </i>
    <i i="4">
      <x v="4"/>
    </i>
    <i i="5">
      <x v="5"/>
    </i>
    <i i="6">
      <x v="6"/>
    </i>
    <i i="7">
      <x v="7"/>
    </i>
  </colItems>
  <dataFields count="8">
    <dataField name="Sum of Cash" fld="1" baseField="0" baseItem="0"/>
    <dataField name="Sum of Bank Loan" fld="2" baseField="0" baseItem="0"/>
    <dataField name="Sum of EMI - HDFC" fld="3" baseField="0" baseItem="0"/>
    <dataField name="Sum of EMI - Bajaj Finserv" fld="4" baseField="0" baseItem="0"/>
    <dataField name="Sum of Credit Card" fld="5" baseField="0" baseItem="0"/>
    <dataField name="Sum of UPI" fld="6" baseField="0" baseItem="0"/>
    <dataField name="Sum of Cheque" fld="7" baseField="0" baseItem="0"/>
    <dataField name="Sum of Total Buyers" fld="8" baseField="0" baseItem="0"/>
  </dataFields>
  <chartFormats count="8">
    <chartFormat chart="55" format="64" series="1">
      <pivotArea type="data" outline="0" fieldPosition="0">
        <references count="1">
          <reference field="4294967294" count="1" selected="0">
            <x v="0"/>
          </reference>
        </references>
      </pivotArea>
    </chartFormat>
    <chartFormat chart="55" format="65" series="1">
      <pivotArea type="data" outline="0" fieldPosition="0">
        <references count="1">
          <reference field="4294967294" count="1" selected="0">
            <x v="1"/>
          </reference>
        </references>
      </pivotArea>
    </chartFormat>
    <chartFormat chart="55" format="66" series="1">
      <pivotArea type="data" outline="0" fieldPosition="0">
        <references count="1">
          <reference field="4294967294" count="1" selected="0">
            <x v="2"/>
          </reference>
        </references>
      </pivotArea>
    </chartFormat>
    <chartFormat chart="55" format="67" series="1">
      <pivotArea type="data" outline="0" fieldPosition="0">
        <references count="1">
          <reference field="4294967294" count="1" selected="0">
            <x v="3"/>
          </reference>
        </references>
      </pivotArea>
    </chartFormat>
    <chartFormat chart="55" format="68" series="1">
      <pivotArea type="data" outline="0" fieldPosition="0">
        <references count="1">
          <reference field="4294967294" count="1" selected="0">
            <x v="4"/>
          </reference>
        </references>
      </pivotArea>
    </chartFormat>
    <chartFormat chart="55" format="69" series="1">
      <pivotArea type="data" outline="0" fieldPosition="0">
        <references count="1">
          <reference field="4294967294" count="1" selected="0">
            <x v="5"/>
          </reference>
        </references>
      </pivotArea>
    </chartFormat>
    <chartFormat chart="55" format="70" series="1">
      <pivotArea type="data" outline="0" fieldPosition="0">
        <references count="1">
          <reference field="4294967294" count="1" selected="0">
            <x v="6"/>
          </reference>
        </references>
      </pivotArea>
    </chartFormat>
    <chartFormat chart="55" format="71"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9530EA-BFB7-4DD9-9EDA-EDB477C4EB4F}" name="PivotTable2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3:C22" firstHeaderRow="0" firstDataRow="1" firstDataCol="1"/>
  <pivotFields count="3">
    <pivotField axis="axisRow" showAll="0">
      <items count="19">
        <item x="9"/>
        <item x="16"/>
        <item x="2"/>
        <item x="0"/>
        <item x="13"/>
        <item x="6"/>
        <item x="1"/>
        <item x="15"/>
        <item x="11"/>
        <item x="10"/>
        <item x="4"/>
        <item x="12"/>
        <item x="8"/>
        <item x="3"/>
        <item x="7"/>
        <item x="17"/>
        <item x="5"/>
        <item x="14"/>
        <item t="default"/>
      </items>
    </pivotField>
    <pivotField dataField="1" showAll="0">
      <items count="14">
        <item x="12"/>
        <item x="0"/>
        <item x="9"/>
        <item x="8"/>
        <item x="1"/>
        <item x="5"/>
        <item x="6"/>
        <item x="4"/>
        <item x="11"/>
        <item x="3"/>
        <item x="2"/>
        <item x="7"/>
        <item x="10"/>
        <item t="default"/>
      </items>
    </pivotField>
    <pivotField dataField="1" showAll="0">
      <items count="13">
        <item x="6"/>
        <item x="7"/>
        <item x="3"/>
        <item x="0"/>
        <item x="2"/>
        <item x="8"/>
        <item x="9"/>
        <item x="11"/>
        <item x="5"/>
        <item x="1"/>
        <item x="10"/>
        <item x="4"/>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With Insurance (Yes)" fld="1" baseField="0" baseItem="0"/>
    <dataField name="Sum of Without Insurance (No)" fld="2" baseField="0" baseItem="0"/>
  </dataField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68" format="16" series="1">
      <pivotArea type="data" outline="0" fieldPosition="0">
        <references count="1">
          <reference field="4294967294" count="1" selected="0">
            <x v="0"/>
          </reference>
        </references>
      </pivotArea>
    </chartFormat>
    <chartFormat chart="68"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98B5B6-F370-40E4-B8FA-DEE3B4F8B36C}" name="PivotTable2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3:C22" firstHeaderRow="0" firstDataRow="1" firstDataCol="1"/>
  <pivotFields count="3">
    <pivotField axis="axisRow" showAll="0">
      <items count="19">
        <item x="9"/>
        <item x="16"/>
        <item x="2"/>
        <item x="0"/>
        <item x="13"/>
        <item x="6"/>
        <item x="1"/>
        <item x="15"/>
        <item x="11"/>
        <item x="10"/>
        <item x="4"/>
        <item x="12"/>
        <item x="8"/>
        <item x="3"/>
        <item x="7"/>
        <item x="17"/>
        <item x="5"/>
        <item x="14"/>
        <item t="default"/>
      </items>
    </pivotField>
    <pivotField dataField="1" showAll="0">
      <items count="13">
        <item x="8"/>
        <item x="5"/>
        <item x="10"/>
        <item x="7"/>
        <item x="11"/>
        <item x="6"/>
        <item x="3"/>
        <item x="9"/>
        <item x="0"/>
        <item x="1"/>
        <item x="2"/>
        <item x="4"/>
        <item t="default"/>
      </items>
    </pivotField>
    <pivotField dataField="1" showAll="0">
      <items count="14">
        <item x="0"/>
        <item x="7"/>
        <item x="8"/>
        <item x="1"/>
        <item x="10"/>
        <item x="4"/>
        <item x="3"/>
        <item x="11"/>
        <item x="5"/>
        <item x="2"/>
        <item x="12"/>
        <item x="9"/>
        <item x="6"/>
        <item t="default"/>
      </items>
    </pivotField>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With Exchange (Yes)" fld="1" baseField="0" baseItem="0"/>
    <dataField name="Sum of Without Exchange (No)"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4" format="16" series="1">
      <pivotArea type="data" outline="0" fieldPosition="0">
        <references count="1">
          <reference field="4294967294" count="1" selected="0">
            <x v="0"/>
          </reference>
        </references>
      </pivotArea>
    </chartFormat>
    <chartFormat chart="44" format="1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stival" xr10:uid="{8936FF9E-3D3D-4508-94D6-82D0478B2E50}" sourceName="Festival">
  <pivotTables>
    <pivotTable tabId="6" name="PivotTable1"/>
  </pivotTables>
  <data>
    <tabular pivotCacheId="261359582">
      <items count="12">
        <i x="0" s="1"/>
        <i x="1" s="1"/>
        <i x="2" s="1"/>
        <i x="11" s="1"/>
        <i x="8" s="1"/>
        <i x="5" s="1"/>
        <i x="4" s="1"/>
        <i x="6" s="1"/>
        <i x="3" s="1"/>
        <i x="10" s="1"/>
        <i x="7"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 xr10:uid="{8FF8E922-B722-414F-8F18-17515831D60C}" sourceName="Total Revenue ($)">
  <pivotTables>
    <pivotTable tabId="6" name="PivotTable1"/>
  </pivotTables>
  <data>
    <tabular pivotCacheId="261359582">
      <items count="12">
        <i x="10" s="1"/>
        <i x="4" s="1"/>
        <i x="9" s="1"/>
        <i x="3" s="1"/>
        <i x="5" s="1"/>
        <i x="6" s="1"/>
        <i x="7" s="1"/>
        <i x="8" s="1"/>
        <i x="11"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DF144FCE-EC76-43BF-88B0-450ABB2CBBC9}" sourceName="Delivery Status">
  <pivotTables>
    <pivotTable tabId="10" name="PivotTable4"/>
  </pivotTables>
  <data>
    <tabular pivotCacheId="89765309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993B78-A0BA-4D8F-B19B-E87C7928D189}" sourceName="Category">
  <pivotTables>
    <pivotTable tabId="11" name="PivotTable5"/>
  </pivotTables>
  <data>
    <tabular pivotCacheId="957292147">
      <items count="5">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Revenue2" xr10:uid="{5235E2A2-B491-40B1-9A2F-671B3DBBCDBD}" sourceName="Total Revenue ($)">
  <pivotTables>
    <pivotTable tabId="11" name="PivotTable5"/>
  </pivotTables>
  <data>
    <tabular pivotCacheId="957292147">
      <items count="5">
        <i x="4" s="1"/>
        <i x="3" s="1"/>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04F5ED84-2989-4435-8A65-DF29E87830B7}" sourceName="Price Range">
  <pivotTables>
    <pivotTable tabId="13" name="PivotTable7"/>
  </pivotTables>
  <data>
    <tabular pivotCacheId="1069288449">
      <items count="6">
        <i x="2" s="1"/>
        <i x="3" s="1"/>
        <i x="4" s="1"/>
        <i x="1" s="1"/>
        <i x="5"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of_Sales1" xr10:uid="{BFB0A60F-A333-4ED2-92FA-344A22AA471D}" sourceName="No. of Sales">
  <pivotTables>
    <pivotTable tabId="13" name="PivotTable7"/>
  </pivotTables>
  <data>
    <tabular pivotCacheId="1069288449">
      <items count="6">
        <i x="5" s="1"/>
        <i x="3" s="1"/>
        <i x="4" s="1"/>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ke_Model" xr10:uid="{4991DB8B-15F7-41BA-9973-7B7E48421EED}" sourceName="Bike Model">
  <pivotTables>
    <pivotTable tabId="20" name="PivotTable21"/>
  </pivotTables>
  <data>
    <tabular pivotCacheId="772698516">
      <items count="18">
        <i x="9" s="1"/>
        <i x="16" s="1"/>
        <i x="2" s="1"/>
        <i x="0" s="1"/>
        <i x="13" s="1"/>
        <i x="6" s="1"/>
        <i x="1" s="1"/>
        <i x="15" s="1"/>
        <i x="11" s="1"/>
        <i x="10" s="1"/>
        <i x="4" s="1"/>
        <i x="12" s="1"/>
        <i x="8" s="1"/>
        <i x="3" s="1"/>
        <i x="7" s="1"/>
        <i x="17" s="1"/>
        <i x="5" s="1"/>
        <i x="1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Card" xr10:uid="{16A72814-618D-4364-8995-325AF8592DFF}" sourceName="Credit Card">
  <data>
    <tabular pivotCacheId="772698516">
      <items count="10">
        <i x="2" s="1"/>
        <i x="3" s="1"/>
        <i x="7" s="1"/>
        <i x="9" s="1"/>
        <i x="0" s="1"/>
        <i x="8" s="1"/>
        <i x="1" s="1"/>
        <i x="4" s="1"/>
        <i x="6" s="1"/>
        <i x="5"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PI" xr10:uid="{7A0EC3ED-714D-4B07-8960-8A8E0E613D51}" sourceName="UPI">
  <data>
    <tabular pivotCacheId="772698516">
      <items count="8">
        <i x="1" s="1"/>
        <i x="2" s="1"/>
        <i x="0" s="1"/>
        <i x="6" s="1"/>
        <i x="7" s="1"/>
        <i x="4" s="1"/>
        <i x="5"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que" xr10:uid="{BC4BEB39-70DB-4051-856E-34D0066285EB}" sourceName="Cheque">
  <data>
    <tabular pivotCacheId="772698516">
      <items count="11">
        <i x="7" s="1"/>
        <i x="10" s="1"/>
        <i x="6" s="1"/>
        <i x="0" s="1"/>
        <i x="5" s="1"/>
        <i x="4" s="1"/>
        <i x="2" s="1"/>
        <i x="1" s="1"/>
        <i x="9" s="1"/>
        <i x="8"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Buyers" xr10:uid="{1DA2733F-B5FC-4A67-98F9-8AE11BDAE2C6}" sourceName="Total Buyers">
  <data>
    <tabular pivotCacheId="772698516">
      <items count="16">
        <i x="8" s="1"/>
        <i x="9" s="1"/>
        <i x="0" s="1"/>
        <i x="13" s="1"/>
        <i x="5" s="1"/>
        <i x="10" s="1"/>
        <i x="1" s="1"/>
        <i x="15" s="1"/>
        <i x="3" s="1"/>
        <i x="4" s="1"/>
        <i x="12" s="1"/>
        <i x="6" s="1"/>
        <i x="2" s="1"/>
        <i x="11" s="1"/>
        <i x="14" s="1"/>
        <i x="7"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th_Insurance__Yes" xr10:uid="{47D33014-5767-4717-9591-F13B6B611255}" sourceName="With Insurance (Yes)">
  <pivotTables>
    <pivotTable tabId="21" name="PivotTable22"/>
  </pivotTables>
  <data>
    <tabular pivotCacheId="152824176">
      <items count="13">
        <i x="12" s="1"/>
        <i x="0" s="1"/>
        <i x="9" s="1"/>
        <i x="8" s="1"/>
        <i x="1" s="1"/>
        <i x="5" s="1"/>
        <i x="6" s="1"/>
        <i x="4" s="1"/>
        <i x="11" s="1"/>
        <i x="3" s="1"/>
        <i x="2" s="1"/>
        <i x="7" s="1"/>
        <i x="1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thout_Insurance__No" xr10:uid="{22595960-4981-4418-81EF-BD7690FF7BEA}" sourceName="Without Insurance (No)">
  <pivotTables>
    <pivotTable tabId="21" name="PivotTable22"/>
  </pivotTables>
  <data>
    <tabular pivotCacheId="152824176">
      <items count="12">
        <i x="6" s="1"/>
        <i x="7" s="1"/>
        <i x="3" s="1"/>
        <i x="0" s="1"/>
        <i x="2" s="1"/>
        <i x="8" s="1"/>
        <i x="9" s="1"/>
        <i x="11" s="1"/>
        <i x="5" s="1"/>
        <i x="1" s="1"/>
        <i x="10" s="1"/>
        <i x="4"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th_Exchange__Yes" xr10:uid="{89C16EF1-5776-4D54-81B9-33A29BE62D87}" sourceName="With Exchange (Yes)">
  <pivotTables>
    <pivotTable tabId="22" name="PivotTable23"/>
  </pivotTables>
  <data>
    <tabular pivotCacheId="1033671774">
      <items count="12">
        <i x="8" s="1"/>
        <i x="5" s="1"/>
        <i x="10" s="1"/>
        <i x="7" s="1"/>
        <i x="11" s="1"/>
        <i x="6" s="1"/>
        <i x="3" s="1"/>
        <i x="9" s="1"/>
        <i x="0" s="1"/>
        <i x="1" s="1"/>
        <i x="2" s="1"/>
        <i x="4"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thout_Exchange__No" xr10:uid="{E9C23E1B-52EE-4DE3-AA58-ECD4403225C3}" sourceName="Without Exchange (No)">
  <pivotTables>
    <pivotTable tabId="22" name="PivotTable23"/>
  </pivotTables>
  <data>
    <tabular pivotCacheId="1033671774">
      <items count="13">
        <i x="0" s="1"/>
        <i x="7" s="1"/>
        <i x="8" s="1"/>
        <i x="1" s="1"/>
        <i x="10" s="1"/>
        <i x="4" s="1"/>
        <i x="3" s="1"/>
        <i x="11" s="1"/>
        <i x="5" s="1"/>
        <i x="2" s="1"/>
        <i x="12" s="1"/>
        <i x="9" s="1"/>
        <i x="6"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91E424CB-8D7B-44FA-90A7-2238BC317504}" sourceName="Branch">
  <pivotTables>
    <pivotTable tabId="7" name="PivotTable2"/>
  </pivotTables>
  <data>
    <tabular pivotCacheId="1385673000">
      <items count="6">
        <i x="0" s="1"/>
        <i x="1" s="1"/>
        <i x="4" s="1"/>
        <i x="3" s="1"/>
        <i x="2" s="1"/>
        <i x="5"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3" xr10:uid="{92F8E5B4-92BF-47C0-932E-7C7FA745A858}" sourceName="Price Range">
  <pivotTables>
    <pivotTable tabId="26" name="PivotTable4"/>
  </pivotTables>
  <data>
    <tabular pivotCacheId="296468129">
      <items count="6">
        <i x="2" s="1"/>
        <i x="3" s="1"/>
        <i x="4" s="1"/>
        <i x="1" s="1"/>
        <i x="5" s="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stival1" xr10:uid="{EAC71D82-8E61-4340-B058-BD6517EEE60D}" sourceName="Festival">
  <pivotTables>
    <pivotTable tabId="23" name="PivotTable1"/>
  </pivotTables>
  <data>
    <tabular pivotCacheId="485202882">
      <items count="12">
        <i x="0" s="1"/>
        <i x="1" s="1"/>
        <i x="2" s="1"/>
        <i x="11" s="1"/>
        <i x="8" s="1"/>
        <i x="5" s="1"/>
        <i x="4" s="1"/>
        <i x="6" s="1"/>
        <i x="3" s="1"/>
        <i x="10" s="1"/>
        <i x="7" s="1"/>
        <i x="9"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ke_Model2" xr10:uid="{F17D634E-FEF8-462F-9546-2DE13187C730}" sourceName="Bike Model">
  <pivotTables>
    <pivotTable tabId="22" name="PivotTable23"/>
  </pivotTables>
  <data>
    <tabular pivotCacheId="1033671774">
      <items count="18">
        <i x="9" s="1"/>
        <i x="16" s="1"/>
        <i x="2" s="1"/>
        <i x="0" s="1"/>
        <i x="13" s="1"/>
        <i x="6" s="1"/>
        <i x="1" s="1"/>
        <i x="15" s="1"/>
        <i x="11" s="1"/>
        <i x="10" s="1"/>
        <i x="4" s="1"/>
        <i x="12" s="1"/>
        <i x="8" s="1"/>
        <i x="3" s="1"/>
        <i x="7" s="1"/>
        <i x="17" s="1"/>
        <i x="5" s="1"/>
        <i x="14"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ke_Model1" xr10:uid="{9D949495-C5BC-48CC-BFB7-32BEF6D72637}" sourceName="Bike Model">
  <pivotTables>
    <pivotTable tabId="21" name="PivotTable22"/>
  </pivotTables>
  <data>
    <tabular pivotCacheId="152824176">
      <items count="18">
        <i x="9" s="1"/>
        <i x="16" s="1"/>
        <i x="2" s="1"/>
        <i x="0" s="1"/>
        <i x="13" s="1"/>
        <i x="6" s="1"/>
        <i x="1" s="1"/>
        <i x="15" s="1"/>
        <i x="11" s="1"/>
        <i x="10" s="1"/>
        <i x="4" s="1"/>
        <i x="12" s="1"/>
        <i x="8" s="1"/>
        <i x="3" s="1"/>
        <i x="7" s="1"/>
        <i x="17" s="1"/>
        <i x="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stival 3" xr10:uid="{879B47B3-9586-4333-A2D6-5EE63B7619E5}" cache="Slicer_Festival" caption="Festival" style="SlicerStyleDark4" rowHeight="274320"/>
  <slicer name="Delivery Status 3" xr10:uid="{F85EFD0A-63DC-41BE-BC42-598A75302F7C}" cache="Slicer_Delivery_Status" caption="Delivery Status" style="SlicerStyleDark4" rowHeight="274320"/>
  <slicer name="Category 3" xr10:uid="{268D943A-815E-45C9-9701-B9F047DA028C}" cache="Slicer_Category" caption="Category" style="SlicerStyleDark4" rowHeight="274320"/>
  <slicer name="Price Range 4" xr10:uid="{8C8A35D3-F92D-4418-ADC2-C2EFF4B56D1F}" cache="Slicer_Price_Range" caption="Price Range" style="SlicerStyleDark4" rowHeight="274320"/>
  <slicer name="Bike Model 6" xr10:uid="{F0A7A79E-744E-498C-8647-BB1039378F24}" cache="Slicer_Bike_Model" caption="Bike Model" style="SlicerStyleDark4" rowHeight="274320"/>
  <slicer name="Branch 3" xr10:uid="{AC3551CC-5284-4A15-9F71-A090B378F967}" cache="Slicer_Branch" caption="Branch" style="SlicerStyleDark4" rowHeight="274320"/>
  <slicer name="Price Range 6" xr10:uid="{862A0139-B08F-4E98-8B26-B8F831FABF2C}" cache="Slicer_Price_Range3" caption="Price Range" startItem="3" style="SlicerStyleDark4" rowHeight="274320"/>
  <slicer name="Festival 5" xr10:uid="{4BCCC2CC-E6EB-4F86-B49B-B95F3FDAD5EC}" cache="Slicer_Festival1" caption="Festival" style="SlicerStyleDark4" rowHeight="274320"/>
  <slicer name="Bike Model 8" xr10:uid="{BC6D2BE3-8463-4347-B756-6263AEBE35C3}" cache="Slicer_Bike_Model2" caption="Bike Model" style="SlicerStyleDark4" rowHeight="274320"/>
  <slicer name="Bike Model 7" xr10:uid="{13AA9604-E007-4002-B607-193263F88C58}" cache="Slicer_Bike_Model1" caption="Bike Model" style="SlicerStyleDark4" rowHeight="274320"/>
  <slicer name="Bike Model 9" xr10:uid="{FEF55468-2ECD-4E4F-A795-AF18511A1925}" cache="Slicer_Bike_Model1" caption="Bike Model" style="SlicerStyleDark4" rowHeight="274320"/>
  <slicer name="Bike Model 10" xr10:uid="{E3F97761-EEB7-40A6-8AD0-38225AFAF560}" cache="Slicer_Bike_Model1" caption="Bike Model" style="SlicerStyleDark4"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stival" xr10:uid="{216122B3-22E3-4FD2-957D-FC547E537A5D}" cache="Slicer_Festival" caption="Festival" rowHeight="234950"/>
  <slicer name="Total Revenue ($)" xr10:uid="{940C52E9-09E8-461E-A8F0-C0E62757DB72}" cache="Slicer_Total_Revenue" caption="Total Revenue ($)"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3F5BF2FE-DBC0-4F14-B623-9D0AAE666285}" cache="Slicer_Branch" caption="Branch"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 Status" xr10:uid="{82651B51-4CA2-4041-9C2B-32F2311BD938}" cache="Slicer_Delivery_Status" caption="Delivery Status"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2624812-870E-454C-8C89-2922E557DC7B}" cache="Slicer_Category" caption="Category" rowHeight="234950"/>
  <slicer name="Total Revenue ($) 2" xr10:uid="{A930E1EF-3C08-4B8C-9C29-6B81F7504A26}" cache="Slicer_Total_Revenue2" caption="Total Revenue ($)"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xr10:uid="{70ACBD4A-936A-4524-B0CB-8EAB6F21BBC5}" cache="Slicer_Price_Range" caption="Price Range" rowHeight="234950"/>
  <slicer name="No. of Sales 1" xr10:uid="{D21C3DAD-C148-4AE2-A27F-CE1EFE4B0FA0}" cache="Slicer_No._of_Sales1" caption="No. of Sales"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Range 3" xr10:uid="{389E1658-4074-4203-B814-8B02B2309D26}" cache="Slicer_Price_Range3" caption="Price Range"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ke Model" xr10:uid="{5A9EAF44-9975-4274-B39F-AA4AA360CAA5}" cache="Slicer_Bike_Model" caption="Bike Model" rowHeight="234950"/>
  <slicer name="Credit Card" xr10:uid="{EA435895-1EF2-4761-9D2E-54AD0146E501}" cache="Slicer_Credit_Card" caption="Credit Card" rowHeight="234950"/>
  <slicer name="UPI" xr10:uid="{C553DFCE-7695-477A-86C5-2021E9C41782}" cache="Slicer_UPI" caption="UPI" rowHeight="234950"/>
  <slicer name="Cheque" xr10:uid="{29D6ACF9-7FA5-4818-9539-FF65E3B1050B}" cache="Slicer_Cheque" caption="Cheque" rowHeight="234950"/>
  <slicer name="Total Buyers" xr10:uid="{22EA9211-106C-4400-8604-F89EA610123A}" cache="Slicer_Total_Buyers" caption="Total Buyers"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th Insurance (Yes)" xr10:uid="{70E9DBEC-E4D9-48CF-A11A-A3FDE0B3080F}" cache="Slicer_With_Insurance__Yes" caption="With Insurance (Yes)" rowHeight="234950"/>
  <slicer name="Without Insurance (No)" xr10:uid="{BB4F722D-1A59-40C6-8BFF-9A16FC4CE49D}" cache="Slicer_Without_Insurance__No" caption="Without Insurance (No)" rowHeight="2349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th Exchange (Yes)" xr10:uid="{4796D803-ED59-48D7-A689-8579F2BA3F04}" cache="Slicer_With_Exchange__Yes" caption="With Exchange (Yes)" startItem="4" rowHeight="234950"/>
  <slicer name="Without Exchange (No)" xr10:uid="{8759DB65-AF0D-4B14-93F0-C59E3E150CB5}" cache="Slicer_Without_Exchange__No" caption="Without Exchange (No)"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T1001" totalsRowShown="0">
  <autoFilter ref="A1:T1001" xr:uid="{00000000-0009-0000-0100-000001000000}"/>
  <tableColumns count="20">
    <tableColumn id="1" xr3:uid="{00000000-0010-0000-0000-000001000000}" name="Sale ID" dataDxfId="19"/>
    <tableColumn id="2" xr3:uid="{00000000-0010-0000-0000-000002000000}" name="Sale Date" dataDxfId="18"/>
    <tableColumn id="3" xr3:uid="{00000000-0010-0000-0000-000003000000}" name="Festival Name" dataDxfId="17"/>
    <tableColumn id="4" xr3:uid="{00000000-0010-0000-0000-000004000000}" name="Customer Name" dataDxfId="16"/>
    <tableColumn id="5" xr3:uid="{00000000-0010-0000-0000-000005000000}" name="Customer Phone" dataDxfId="15"/>
    <tableColumn id="6" xr3:uid="{00000000-0010-0000-0000-000006000000}" name="Customer City" dataDxfId="14"/>
    <tableColumn id="7" xr3:uid="{00000000-0010-0000-0000-000007000000}" name="Bike Model" dataDxfId="13"/>
    <tableColumn id="8" xr3:uid="{00000000-0010-0000-0000-000008000000}" name="Bike Category" dataDxfId="12"/>
    <tableColumn id="9" xr3:uid="{00000000-0010-0000-0000-000009000000}" name="Engine (CC)" dataDxfId="11"/>
    <tableColumn id="10" xr3:uid="{00000000-0010-0000-0000-00000A000000}" name="Color" dataDxfId="10"/>
    <tableColumn id="11" xr3:uid="{00000000-0010-0000-0000-00000B000000}" name="Showroom Branch" dataDxfId="9"/>
    <tableColumn id="12" xr3:uid="{00000000-0010-0000-0000-00000C000000}" name="Salesperson" dataDxfId="8"/>
    <tableColumn id="13" xr3:uid="{00000000-0010-0000-0000-00000D000000}" name="List Price ($)" dataDxfId="7"/>
    <tableColumn id="14" xr3:uid="{00000000-0010-0000-0000-00000E000000}" name="Festival Discount (%)" dataDxfId="6"/>
    <tableColumn id="15" xr3:uid="{00000000-0010-0000-0000-00000F000000}" name="Discount Amount ($)" dataDxfId="5"/>
    <tableColumn id="16" xr3:uid="{00000000-0010-0000-0000-000010000000}" name="Final Price ($)" dataDxfId="4"/>
    <tableColumn id="17" xr3:uid="{00000000-0010-0000-0000-000011000000}" name="Payment Mode" dataDxfId="3"/>
    <tableColumn id="18" xr3:uid="{00000000-0010-0000-0000-000012000000}" name="Exchange Bike (Y/N)" dataDxfId="2"/>
    <tableColumn id="19" xr3:uid="{00000000-0010-0000-0000-000013000000}" name="Insurance Included (Y/N)" dataDxfId="1"/>
    <tableColumn id="20" xr3:uid="{00000000-0010-0000-0000-000014000000}" name="Delivery Statu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1"/>
  <sheetViews>
    <sheetView topLeftCell="E17" zoomScale="69" zoomScaleNormal="100" workbookViewId="0">
      <selection activeCell="D4" sqref="D4"/>
    </sheetView>
  </sheetViews>
  <sheetFormatPr defaultColWidth="8.6640625" defaultRowHeight="14.4" x14ac:dyDescent="0.3"/>
  <cols>
    <col min="1" max="1" width="11" customWidth="1"/>
    <col min="2" max="2" width="12" customWidth="1"/>
    <col min="3" max="3" width="16" customWidth="1"/>
    <col min="4" max="4" width="18" customWidth="1"/>
    <col min="5" max="5" width="15" customWidth="1"/>
    <col min="6" max="6" width="14" customWidth="1"/>
    <col min="7" max="7" width="24" customWidth="1"/>
    <col min="8" max="8" width="12" customWidth="1"/>
    <col min="9" max="9" width="10" customWidth="1"/>
    <col min="10" max="10" width="14" customWidth="1"/>
    <col min="11" max="11" width="16" customWidth="1"/>
    <col min="12" max="12" width="14" customWidth="1"/>
    <col min="13" max="14" width="12" customWidth="1"/>
    <col min="15" max="15" width="14" customWidth="1"/>
    <col min="16" max="16" width="13" customWidth="1"/>
    <col min="17" max="17" width="18" customWidth="1"/>
    <col min="18" max="18" width="12" customWidth="1"/>
    <col min="19" max="20" width="14" customWidth="1"/>
  </cols>
  <sheetData>
    <row r="1" spans="1:20" ht="15" customHeight="1" x14ac:dyDescent="0.3">
      <c r="A1" s="1" t="s">
        <v>41</v>
      </c>
      <c r="B1" s="1" t="s">
        <v>42</v>
      </c>
      <c r="C1" s="1" t="s">
        <v>43</v>
      </c>
      <c r="D1" s="1" t="s">
        <v>44</v>
      </c>
      <c r="E1" s="1" t="s">
        <v>45</v>
      </c>
      <c r="F1" s="1" t="s">
        <v>46</v>
      </c>
      <c r="G1" s="1" t="s">
        <v>47</v>
      </c>
      <c r="H1" s="1" t="s">
        <v>48</v>
      </c>
      <c r="I1" s="1" t="s">
        <v>49</v>
      </c>
      <c r="J1" s="1" t="s">
        <v>50</v>
      </c>
      <c r="K1" s="1" t="s">
        <v>51</v>
      </c>
      <c r="L1" s="1" t="s">
        <v>52</v>
      </c>
      <c r="M1" s="1" t="s">
        <v>53</v>
      </c>
      <c r="N1" s="1" t="s">
        <v>54</v>
      </c>
      <c r="O1" s="1" t="s">
        <v>55</v>
      </c>
      <c r="P1" s="1" t="s">
        <v>56</v>
      </c>
      <c r="Q1" s="1" t="s">
        <v>23</v>
      </c>
      <c r="R1" s="1" t="s">
        <v>57</v>
      </c>
      <c r="S1" s="1" t="s">
        <v>58</v>
      </c>
      <c r="T1" s="1" t="s">
        <v>24</v>
      </c>
    </row>
    <row r="2" spans="1:20" ht="15" customHeight="1" x14ac:dyDescent="0.3">
      <c r="A2" s="3" t="s">
        <v>59</v>
      </c>
      <c r="B2" s="3" t="s">
        <v>60</v>
      </c>
      <c r="C2" s="3" t="s">
        <v>10</v>
      </c>
      <c r="D2" s="3" t="s">
        <v>61</v>
      </c>
      <c r="E2" s="3" t="s">
        <v>62</v>
      </c>
      <c r="F2" s="3" t="s">
        <v>63</v>
      </c>
      <c r="G2" s="3" t="s">
        <v>64</v>
      </c>
      <c r="H2" s="3" t="s">
        <v>19</v>
      </c>
      <c r="I2" s="3">
        <v>200</v>
      </c>
      <c r="J2" s="3" t="s">
        <v>65</v>
      </c>
      <c r="K2" s="3" t="s">
        <v>1</v>
      </c>
      <c r="L2" s="3" t="s">
        <v>66</v>
      </c>
      <c r="M2" s="4">
        <v>199900</v>
      </c>
      <c r="N2" s="5">
        <v>3.4</v>
      </c>
      <c r="O2" s="4">
        <f t="shared" ref="O2:O65" si="0">M2*N2/100</f>
        <v>6796.6</v>
      </c>
      <c r="P2" s="4">
        <f t="shared" ref="P2:P65" si="1">M2-O2</f>
        <v>193103.4</v>
      </c>
      <c r="Q2" s="3" t="s">
        <v>28</v>
      </c>
      <c r="R2" s="3" t="s">
        <v>67</v>
      </c>
      <c r="S2" s="3" t="s">
        <v>68</v>
      </c>
      <c r="T2" s="3" t="s">
        <v>26</v>
      </c>
    </row>
    <row r="3" spans="1:20" ht="15" customHeight="1" x14ac:dyDescent="0.3">
      <c r="A3" s="3" t="s">
        <v>69</v>
      </c>
      <c r="B3" s="3" t="s">
        <v>70</v>
      </c>
      <c r="C3" s="3" t="s">
        <v>2</v>
      </c>
      <c r="D3" s="3" t="s">
        <v>71</v>
      </c>
      <c r="E3" s="3" t="s">
        <v>72</v>
      </c>
      <c r="F3" s="3" t="s">
        <v>63</v>
      </c>
      <c r="G3" s="3" t="s">
        <v>73</v>
      </c>
      <c r="H3" s="3" t="s">
        <v>21</v>
      </c>
      <c r="I3" s="3">
        <v>110</v>
      </c>
      <c r="J3" s="3" t="s">
        <v>65</v>
      </c>
      <c r="K3" s="3" t="s">
        <v>1</v>
      </c>
      <c r="L3" s="3" t="s">
        <v>74</v>
      </c>
      <c r="M3" s="4">
        <v>79900</v>
      </c>
      <c r="N3" s="5">
        <v>3.6</v>
      </c>
      <c r="O3" s="4">
        <f t="shared" si="0"/>
        <v>2876.4</v>
      </c>
      <c r="P3" s="4">
        <f t="shared" si="1"/>
        <v>77023.600000000006</v>
      </c>
      <c r="Q3" s="3" t="s">
        <v>40</v>
      </c>
      <c r="R3" s="3" t="s">
        <v>67</v>
      </c>
      <c r="S3" s="3" t="s">
        <v>68</v>
      </c>
      <c r="T3" s="3" t="s">
        <v>32</v>
      </c>
    </row>
    <row r="4" spans="1:20" ht="15" customHeight="1" x14ac:dyDescent="0.3">
      <c r="A4" s="3" t="s">
        <v>75</v>
      </c>
      <c r="B4" s="3" t="s">
        <v>76</v>
      </c>
      <c r="C4" s="3" t="s">
        <v>4</v>
      </c>
      <c r="D4" s="3" t="s">
        <v>77</v>
      </c>
      <c r="E4" s="3" t="s">
        <v>78</v>
      </c>
      <c r="F4" s="3" t="s">
        <v>79</v>
      </c>
      <c r="G4" s="3" t="s">
        <v>80</v>
      </c>
      <c r="H4" s="3" t="s">
        <v>22</v>
      </c>
      <c r="I4" s="3">
        <v>0</v>
      </c>
      <c r="J4" s="3" t="s">
        <v>81</v>
      </c>
      <c r="K4" s="3" t="s">
        <v>11</v>
      </c>
      <c r="L4" s="3" t="s">
        <v>82</v>
      </c>
      <c r="M4" s="4">
        <v>145000</v>
      </c>
      <c r="N4" s="5">
        <v>4.2</v>
      </c>
      <c r="O4" s="4">
        <f t="shared" si="0"/>
        <v>6090</v>
      </c>
      <c r="P4" s="4">
        <f t="shared" si="1"/>
        <v>138910</v>
      </c>
      <c r="Q4" s="3" t="s">
        <v>36</v>
      </c>
      <c r="R4" s="3" t="s">
        <v>67</v>
      </c>
      <c r="S4" s="3" t="s">
        <v>68</v>
      </c>
      <c r="T4" s="3" t="s">
        <v>26</v>
      </c>
    </row>
    <row r="5" spans="1:20" ht="15" customHeight="1" x14ac:dyDescent="0.3">
      <c r="A5" s="3" t="s">
        <v>83</v>
      </c>
      <c r="B5" s="3" t="s">
        <v>84</v>
      </c>
      <c r="C5" s="3" t="s">
        <v>17</v>
      </c>
      <c r="D5" s="3" t="s">
        <v>85</v>
      </c>
      <c r="E5" s="3" t="s">
        <v>86</v>
      </c>
      <c r="F5" s="3" t="s">
        <v>87</v>
      </c>
      <c r="G5" s="3" t="s">
        <v>88</v>
      </c>
      <c r="H5" s="3" t="s">
        <v>18</v>
      </c>
      <c r="I5" s="3">
        <v>125</v>
      </c>
      <c r="J5" s="3" t="s">
        <v>89</v>
      </c>
      <c r="K5" s="3" t="s">
        <v>5</v>
      </c>
      <c r="L5" s="3" t="s">
        <v>90</v>
      </c>
      <c r="M5" s="4">
        <v>94900</v>
      </c>
      <c r="N5" s="5">
        <v>10</v>
      </c>
      <c r="O5" s="4">
        <f t="shared" si="0"/>
        <v>9490</v>
      </c>
      <c r="P5" s="4">
        <f t="shared" si="1"/>
        <v>85410</v>
      </c>
      <c r="Q5" s="3" t="s">
        <v>28</v>
      </c>
      <c r="R5" s="3" t="s">
        <v>67</v>
      </c>
      <c r="S5" s="3" t="s">
        <v>68</v>
      </c>
      <c r="T5" s="3" t="s">
        <v>26</v>
      </c>
    </row>
    <row r="6" spans="1:20" ht="15" customHeight="1" x14ac:dyDescent="0.3">
      <c r="A6" s="3" t="s">
        <v>91</v>
      </c>
      <c r="B6" s="3" t="s">
        <v>92</v>
      </c>
      <c r="C6" s="3" t="s">
        <v>4</v>
      </c>
      <c r="D6" s="3" t="s">
        <v>93</v>
      </c>
      <c r="E6" s="3" t="s">
        <v>94</v>
      </c>
      <c r="F6" s="3" t="s">
        <v>87</v>
      </c>
      <c r="G6" s="3" t="s">
        <v>95</v>
      </c>
      <c r="H6" s="3" t="s">
        <v>22</v>
      </c>
      <c r="I6" s="3">
        <v>0</v>
      </c>
      <c r="J6" s="3" t="s">
        <v>96</v>
      </c>
      <c r="K6" s="3" t="s">
        <v>5</v>
      </c>
      <c r="L6" s="3" t="s">
        <v>97</v>
      </c>
      <c r="M6" s="4">
        <v>139999</v>
      </c>
      <c r="N6" s="5">
        <v>4.4000000000000004</v>
      </c>
      <c r="O6" s="4">
        <f t="shared" si="0"/>
        <v>6159.956000000001</v>
      </c>
      <c r="P6" s="4">
        <f t="shared" si="1"/>
        <v>133839.04399999999</v>
      </c>
      <c r="Q6" s="3" t="s">
        <v>28</v>
      </c>
      <c r="R6" s="3" t="s">
        <v>67</v>
      </c>
      <c r="S6" s="3" t="s">
        <v>68</v>
      </c>
      <c r="T6" s="3" t="s">
        <v>26</v>
      </c>
    </row>
    <row r="7" spans="1:20" ht="15" customHeight="1" x14ac:dyDescent="0.3">
      <c r="A7" s="3" t="s">
        <v>98</v>
      </c>
      <c r="B7" s="3" t="s">
        <v>99</v>
      </c>
      <c r="C7" s="3" t="s">
        <v>13</v>
      </c>
      <c r="D7" s="3" t="s">
        <v>100</v>
      </c>
      <c r="E7" s="3" t="s">
        <v>101</v>
      </c>
      <c r="F7" s="3" t="s">
        <v>79</v>
      </c>
      <c r="G7" s="3" t="s">
        <v>95</v>
      </c>
      <c r="H7" s="3" t="s">
        <v>22</v>
      </c>
      <c r="I7" s="3">
        <v>0</v>
      </c>
      <c r="J7" s="3" t="s">
        <v>102</v>
      </c>
      <c r="K7" s="3" t="s">
        <v>11</v>
      </c>
      <c r="L7" s="3" t="s">
        <v>103</v>
      </c>
      <c r="M7" s="4">
        <v>139999</v>
      </c>
      <c r="N7" s="5">
        <v>10.1</v>
      </c>
      <c r="O7" s="4">
        <f t="shared" si="0"/>
        <v>14139.898999999999</v>
      </c>
      <c r="P7" s="4">
        <f t="shared" si="1"/>
        <v>125859.101</v>
      </c>
      <c r="Q7" s="3" t="s">
        <v>31</v>
      </c>
      <c r="R7" s="3" t="s">
        <v>67</v>
      </c>
      <c r="S7" s="3" t="s">
        <v>68</v>
      </c>
      <c r="T7" s="3" t="s">
        <v>26</v>
      </c>
    </row>
    <row r="8" spans="1:20" ht="15" customHeight="1" x14ac:dyDescent="0.3">
      <c r="A8" s="3" t="s">
        <v>104</v>
      </c>
      <c r="B8" s="3" t="s">
        <v>105</v>
      </c>
      <c r="C8" s="3" t="s">
        <v>13</v>
      </c>
      <c r="D8" s="3" t="s">
        <v>106</v>
      </c>
      <c r="E8" s="3" t="s">
        <v>107</v>
      </c>
      <c r="F8" s="3" t="s">
        <v>87</v>
      </c>
      <c r="G8" s="3" t="s">
        <v>80</v>
      </c>
      <c r="H8" s="3" t="s">
        <v>22</v>
      </c>
      <c r="I8" s="3">
        <v>0</v>
      </c>
      <c r="J8" s="3" t="s">
        <v>89</v>
      </c>
      <c r="K8" s="3" t="s">
        <v>11</v>
      </c>
      <c r="L8" s="3" t="s">
        <v>103</v>
      </c>
      <c r="M8" s="4">
        <v>145000</v>
      </c>
      <c r="N8" s="5">
        <v>3.3</v>
      </c>
      <c r="O8" s="4">
        <f t="shared" si="0"/>
        <v>4785</v>
      </c>
      <c r="P8" s="4">
        <f t="shared" si="1"/>
        <v>140215</v>
      </c>
      <c r="Q8" s="3" t="s">
        <v>36</v>
      </c>
      <c r="R8" s="3" t="s">
        <v>67</v>
      </c>
      <c r="S8" s="3" t="s">
        <v>68</v>
      </c>
      <c r="T8" s="3" t="s">
        <v>26</v>
      </c>
    </row>
    <row r="9" spans="1:20" ht="15" customHeight="1" x14ac:dyDescent="0.3">
      <c r="A9" s="3" t="s">
        <v>108</v>
      </c>
      <c r="B9" s="3" t="s">
        <v>109</v>
      </c>
      <c r="C9" s="3" t="s">
        <v>2</v>
      </c>
      <c r="D9" s="3" t="s">
        <v>110</v>
      </c>
      <c r="E9" s="3" t="s">
        <v>111</v>
      </c>
      <c r="F9" s="3" t="s">
        <v>112</v>
      </c>
      <c r="G9" s="3" t="s">
        <v>73</v>
      </c>
      <c r="H9" s="3" t="s">
        <v>21</v>
      </c>
      <c r="I9" s="3">
        <v>110</v>
      </c>
      <c r="J9" s="3" t="s">
        <v>89</v>
      </c>
      <c r="K9" s="3" t="s">
        <v>7</v>
      </c>
      <c r="L9" s="3" t="s">
        <v>90</v>
      </c>
      <c r="M9" s="4">
        <v>79900</v>
      </c>
      <c r="N9" s="5">
        <v>4</v>
      </c>
      <c r="O9" s="4">
        <f t="shared" si="0"/>
        <v>3196</v>
      </c>
      <c r="P9" s="4">
        <f t="shared" si="1"/>
        <v>76704</v>
      </c>
      <c r="Q9" s="3" t="s">
        <v>31</v>
      </c>
      <c r="R9" s="3" t="s">
        <v>67</v>
      </c>
      <c r="S9" s="3" t="s">
        <v>68</v>
      </c>
      <c r="T9" s="3" t="s">
        <v>32</v>
      </c>
    </row>
    <row r="10" spans="1:20" ht="15" customHeight="1" x14ac:dyDescent="0.3">
      <c r="A10" s="3" t="s">
        <v>113</v>
      </c>
      <c r="B10" s="3" t="s">
        <v>114</v>
      </c>
      <c r="C10" s="3" t="s">
        <v>4</v>
      </c>
      <c r="D10" s="3" t="s">
        <v>115</v>
      </c>
      <c r="E10" s="3" t="s">
        <v>116</v>
      </c>
      <c r="F10" s="3" t="s">
        <v>117</v>
      </c>
      <c r="G10" s="3" t="s">
        <v>118</v>
      </c>
      <c r="H10" s="3" t="s">
        <v>20</v>
      </c>
      <c r="I10" s="3">
        <v>350</v>
      </c>
      <c r="J10" s="3" t="s">
        <v>119</v>
      </c>
      <c r="K10" s="3" t="s">
        <v>3</v>
      </c>
      <c r="L10" s="3" t="s">
        <v>97</v>
      </c>
      <c r="M10" s="4">
        <v>159900</v>
      </c>
      <c r="N10" s="5">
        <v>5.0999999999999996</v>
      </c>
      <c r="O10" s="4">
        <f t="shared" si="0"/>
        <v>8154.9</v>
      </c>
      <c r="P10" s="4">
        <f t="shared" si="1"/>
        <v>151745.1</v>
      </c>
      <c r="Q10" s="3" t="s">
        <v>25</v>
      </c>
      <c r="R10" s="3" t="s">
        <v>67</v>
      </c>
      <c r="S10" s="3" t="s">
        <v>67</v>
      </c>
      <c r="T10" s="3" t="s">
        <v>26</v>
      </c>
    </row>
    <row r="11" spans="1:20" ht="15" customHeight="1" x14ac:dyDescent="0.3">
      <c r="A11" s="3" t="s">
        <v>120</v>
      </c>
      <c r="B11" s="3" t="s">
        <v>121</v>
      </c>
      <c r="C11" s="3" t="s">
        <v>13</v>
      </c>
      <c r="D11" s="3" t="s">
        <v>122</v>
      </c>
      <c r="E11" s="3" t="s">
        <v>123</v>
      </c>
      <c r="F11" s="3" t="s">
        <v>124</v>
      </c>
      <c r="G11" s="3" t="s">
        <v>88</v>
      </c>
      <c r="H11" s="3" t="s">
        <v>18</v>
      </c>
      <c r="I11" s="3">
        <v>125</v>
      </c>
      <c r="J11" s="3" t="s">
        <v>102</v>
      </c>
      <c r="K11" s="3" t="s">
        <v>9</v>
      </c>
      <c r="L11" s="3" t="s">
        <v>103</v>
      </c>
      <c r="M11" s="4">
        <v>94900</v>
      </c>
      <c r="N11" s="5">
        <v>14.4</v>
      </c>
      <c r="O11" s="4">
        <f t="shared" si="0"/>
        <v>13665.6</v>
      </c>
      <c r="P11" s="4">
        <f t="shared" si="1"/>
        <v>81234.399999999994</v>
      </c>
      <c r="Q11" s="3" t="s">
        <v>40</v>
      </c>
      <c r="R11" s="3" t="s">
        <v>68</v>
      </c>
      <c r="S11" s="3" t="s">
        <v>68</v>
      </c>
      <c r="T11" s="3" t="s">
        <v>26</v>
      </c>
    </row>
    <row r="12" spans="1:20" ht="15" customHeight="1" x14ac:dyDescent="0.3">
      <c r="A12" s="3" t="s">
        <v>125</v>
      </c>
      <c r="B12" s="3" t="s">
        <v>126</v>
      </c>
      <c r="C12" s="3" t="s">
        <v>14</v>
      </c>
      <c r="D12" s="3" t="s">
        <v>127</v>
      </c>
      <c r="E12" s="3" t="s">
        <v>128</v>
      </c>
      <c r="F12" s="3" t="s">
        <v>87</v>
      </c>
      <c r="G12" s="3" t="s">
        <v>118</v>
      </c>
      <c r="H12" s="3" t="s">
        <v>20</v>
      </c>
      <c r="I12" s="3">
        <v>350</v>
      </c>
      <c r="J12" s="3" t="s">
        <v>129</v>
      </c>
      <c r="K12" s="3" t="s">
        <v>3</v>
      </c>
      <c r="L12" s="3" t="s">
        <v>97</v>
      </c>
      <c r="M12" s="4">
        <v>159900</v>
      </c>
      <c r="N12" s="5">
        <v>14.8</v>
      </c>
      <c r="O12" s="4">
        <f t="shared" si="0"/>
        <v>23665.200000000001</v>
      </c>
      <c r="P12" s="4">
        <f t="shared" si="1"/>
        <v>136234.79999999999</v>
      </c>
      <c r="Q12" s="3" t="s">
        <v>31</v>
      </c>
      <c r="R12" s="3" t="s">
        <v>67</v>
      </c>
      <c r="S12" s="3" t="s">
        <v>68</v>
      </c>
      <c r="T12" s="3" t="s">
        <v>26</v>
      </c>
    </row>
    <row r="13" spans="1:20" ht="15" customHeight="1" x14ac:dyDescent="0.3">
      <c r="A13" s="3" t="s">
        <v>130</v>
      </c>
      <c r="B13" s="3" t="s">
        <v>131</v>
      </c>
      <c r="C13" s="3" t="s">
        <v>15</v>
      </c>
      <c r="D13" s="3" t="s">
        <v>132</v>
      </c>
      <c r="E13" s="3" t="s">
        <v>133</v>
      </c>
      <c r="F13" s="3" t="s">
        <v>134</v>
      </c>
      <c r="G13" s="3" t="s">
        <v>135</v>
      </c>
      <c r="H13" s="3" t="s">
        <v>19</v>
      </c>
      <c r="I13" s="3">
        <v>160</v>
      </c>
      <c r="J13" s="3" t="s">
        <v>102</v>
      </c>
      <c r="K13" s="3" t="s">
        <v>9</v>
      </c>
      <c r="L13" s="3" t="s">
        <v>136</v>
      </c>
      <c r="M13" s="4">
        <v>124900</v>
      </c>
      <c r="N13" s="5">
        <v>3.8</v>
      </c>
      <c r="O13" s="4">
        <f t="shared" si="0"/>
        <v>4746.2</v>
      </c>
      <c r="P13" s="4">
        <f t="shared" si="1"/>
        <v>120153.8</v>
      </c>
      <c r="Q13" s="3" t="s">
        <v>28</v>
      </c>
      <c r="R13" s="3" t="s">
        <v>67</v>
      </c>
      <c r="S13" s="3" t="s">
        <v>67</v>
      </c>
      <c r="T13" s="3" t="s">
        <v>29</v>
      </c>
    </row>
    <row r="14" spans="1:20" ht="15" customHeight="1" x14ac:dyDescent="0.3">
      <c r="A14" s="3" t="s">
        <v>137</v>
      </c>
      <c r="B14" s="3" t="s">
        <v>138</v>
      </c>
      <c r="C14" s="3" t="s">
        <v>16</v>
      </c>
      <c r="D14" s="3" t="s">
        <v>139</v>
      </c>
      <c r="E14" s="3" t="s">
        <v>140</v>
      </c>
      <c r="F14" s="3" t="s">
        <v>63</v>
      </c>
      <c r="G14" s="3" t="s">
        <v>135</v>
      </c>
      <c r="H14" s="3" t="s">
        <v>19</v>
      </c>
      <c r="I14" s="3">
        <v>160</v>
      </c>
      <c r="J14" s="3" t="s">
        <v>96</v>
      </c>
      <c r="K14" s="3" t="s">
        <v>7</v>
      </c>
      <c r="L14" s="3" t="s">
        <v>90</v>
      </c>
      <c r="M14" s="4">
        <v>124900</v>
      </c>
      <c r="N14" s="5">
        <v>8.8000000000000007</v>
      </c>
      <c r="O14" s="4">
        <f t="shared" si="0"/>
        <v>10991.2</v>
      </c>
      <c r="P14" s="4">
        <f t="shared" si="1"/>
        <v>113908.8</v>
      </c>
      <c r="Q14" s="3" t="s">
        <v>38</v>
      </c>
      <c r="R14" s="3" t="s">
        <v>68</v>
      </c>
      <c r="S14" s="3" t="s">
        <v>68</v>
      </c>
      <c r="T14" s="3" t="s">
        <v>26</v>
      </c>
    </row>
    <row r="15" spans="1:20" ht="15" customHeight="1" x14ac:dyDescent="0.3">
      <c r="A15" s="3" t="s">
        <v>141</v>
      </c>
      <c r="B15" s="3" t="s">
        <v>142</v>
      </c>
      <c r="C15" s="3" t="s">
        <v>10</v>
      </c>
      <c r="D15" s="3" t="s">
        <v>143</v>
      </c>
      <c r="E15" s="3" t="s">
        <v>144</v>
      </c>
      <c r="F15" s="3" t="s">
        <v>145</v>
      </c>
      <c r="G15" s="3" t="s">
        <v>146</v>
      </c>
      <c r="H15" s="3" t="s">
        <v>18</v>
      </c>
      <c r="I15" s="3">
        <v>110</v>
      </c>
      <c r="J15" s="3" t="s">
        <v>102</v>
      </c>
      <c r="K15" s="3" t="s">
        <v>3</v>
      </c>
      <c r="L15" s="3" t="s">
        <v>136</v>
      </c>
      <c r="M15" s="4">
        <v>74900</v>
      </c>
      <c r="N15" s="5">
        <v>12.1</v>
      </c>
      <c r="O15" s="4">
        <f t="shared" si="0"/>
        <v>9062.9</v>
      </c>
      <c r="P15" s="4">
        <f t="shared" si="1"/>
        <v>65837.100000000006</v>
      </c>
      <c r="Q15" s="3" t="s">
        <v>38</v>
      </c>
      <c r="R15" s="3" t="s">
        <v>67</v>
      </c>
      <c r="S15" s="3" t="s">
        <v>67</v>
      </c>
      <c r="T15" s="3" t="s">
        <v>26</v>
      </c>
    </row>
    <row r="16" spans="1:20" ht="15" customHeight="1" x14ac:dyDescent="0.3">
      <c r="A16" s="3" t="s">
        <v>147</v>
      </c>
      <c r="B16" s="3" t="s">
        <v>148</v>
      </c>
      <c r="C16" s="3" t="s">
        <v>8</v>
      </c>
      <c r="D16" s="3" t="s">
        <v>149</v>
      </c>
      <c r="E16" s="3" t="s">
        <v>150</v>
      </c>
      <c r="F16" s="3" t="s">
        <v>134</v>
      </c>
      <c r="G16" s="3" t="s">
        <v>88</v>
      </c>
      <c r="H16" s="3" t="s">
        <v>18</v>
      </c>
      <c r="I16" s="3">
        <v>125</v>
      </c>
      <c r="J16" s="3" t="s">
        <v>81</v>
      </c>
      <c r="K16" s="3" t="s">
        <v>5</v>
      </c>
      <c r="L16" s="3" t="s">
        <v>66</v>
      </c>
      <c r="M16" s="4">
        <v>94900</v>
      </c>
      <c r="N16" s="5">
        <v>10.4</v>
      </c>
      <c r="O16" s="4">
        <f t="shared" si="0"/>
        <v>9869.6</v>
      </c>
      <c r="P16" s="4">
        <f t="shared" si="1"/>
        <v>85030.399999999994</v>
      </c>
      <c r="Q16" s="3" t="s">
        <v>38</v>
      </c>
      <c r="R16" s="3" t="s">
        <v>67</v>
      </c>
      <c r="S16" s="3" t="s">
        <v>68</v>
      </c>
      <c r="T16" s="3" t="s">
        <v>29</v>
      </c>
    </row>
    <row r="17" spans="1:20" ht="15" customHeight="1" x14ac:dyDescent="0.3">
      <c r="A17" s="3" t="s">
        <v>151</v>
      </c>
      <c r="B17" s="3" t="s">
        <v>152</v>
      </c>
      <c r="C17" s="3" t="s">
        <v>6</v>
      </c>
      <c r="D17" s="3" t="s">
        <v>153</v>
      </c>
      <c r="E17" s="3" t="s">
        <v>154</v>
      </c>
      <c r="F17" s="3" t="s">
        <v>155</v>
      </c>
      <c r="G17" s="3" t="s">
        <v>156</v>
      </c>
      <c r="H17" s="3" t="s">
        <v>21</v>
      </c>
      <c r="I17" s="3">
        <v>125</v>
      </c>
      <c r="J17" s="3" t="s">
        <v>96</v>
      </c>
      <c r="K17" s="3" t="s">
        <v>5</v>
      </c>
      <c r="L17" s="3" t="s">
        <v>66</v>
      </c>
      <c r="M17" s="4">
        <v>88900</v>
      </c>
      <c r="N17" s="5">
        <v>11.3</v>
      </c>
      <c r="O17" s="4">
        <f t="shared" si="0"/>
        <v>10045.700000000001</v>
      </c>
      <c r="P17" s="4">
        <f t="shared" si="1"/>
        <v>78854.3</v>
      </c>
      <c r="Q17" s="3" t="s">
        <v>31</v>
      </c>
      <c r="R17" s="3" t="s">
        <v>67</v>
      </c>
      <c r="S17" s="3" t="s">
        <v>68</v>
      </c>
      <c r="T17" s="3" t="s">
        <v>26</v>
      </c>
    </row>
    <row r="18" spans="1:20" ht="15" customHeight="1" x14ac:dyDescent="0.3">
      <c r="A18" s="3" t="s">
        <v>157</v>
      </c>
      <c r="B18" s="3" t="s">
        <v>158</v>
      </c>
      <c r="C18" s="3" t="s">
        <v>10</v>
      </c>
      <c r="D18" s="3" t="s">
        <v>159</v>
      </c>
      <c r="E18" s="3" t="s">
        <v>160</v>
      </c>
      <c r="F18" s="3" t="s">
        <v>145</v>
      </c>
      <c r="G18" s="3" t="s">
        <v>95</v>
      </c>
      <c r="H18" s="3" t="s">
        <v>22</v>
      </c>
      <c r="I18" s="3">
        <v>0</v>
      </c>
      <c r="J18" s="3" t="s">
        <v>119</v>
      </c>
      <c r="K18" s="3" t="s">
        <v>7</v>
      </c>
      <c r="L18" s="3" t="s">
        <v>136</v>
      </c>
      <c r="M18" s="4">
        <v>139999</v>
      </c>
      <c r="N18" s="5">
        <v>8.8000000000000007</v>
      </c>
      <c r="O18" s="4">
        <f t="shared" si="0"/>
        <v>12319.912000000002</v>
      </c>
      <c r="P18" s="4">
        <f t="shared" si="1"/>
        <v>127679.088</v>
      </c>
      <c r="Q18" s="3" t="s">
        <v>40</v>
      </c>
      <c r="R18" s="3" t="s">
        <v>67</v>
      </c>
      <c r="S18" s="3" t="s">
        <v>67</v>
      </c>
      <c r="T18" s="3" t="s">
        <v>26</v>
      </c>
    </row>
    <row r="19" spans="1:20" ht="15" customHeight="1" x14ac:dyDescent="0.3">
      <c r="A19" s="3" t="s">
        <v>161</v>
      </c>
      <c r="B19" s="3" t="s">
        <v>60</v>
      </c>
      <c r="C19" s="3" t="s">
        <v>16</v>
      </c>
      <c r="D19" s="3" t="s">
        <v>162</v>
      </c>
      <c r="E19" s="3" t="s">
        <v>163</v>
      </c>
      <c r="F19" s="3" t="s">
        <v>124</v>
      </c>
      <c r="G19" s="3" t="s">
        <v>95</v>
      </c>
      <c r="H19" s="3" t="s">
        <v>22</v>
      </c>
      <c r="I19" s="3">
        <v>0</v>
      </c>
      <c r="J19" s="3" t="s">
        <v>164</v>
      </c>
      <c r="K19" s="3" t="s">
        <v>11</v>
      </c>
      <c r="L19" s="3" t="s">
        <v>74</v>
      </c>
      <c r="M19" s="4">
        <v>139999</v>
      </c>
      <c r="N19" s="5">
        <v>8.6</v>
      </c>
      <c r="O19" s="4">
        <f t="shared" si="0"/>
        <v>12039.913999999999</v>
      </c>
      <c r="P19" s="4">
        <f t="shared" si="1"/>
        <v>127959.086</v>
      </c>
      <c r="Q19" s="3" t="s">
        <v>28</v>
      </c>
      <c r="R19" s="3" t="s">
        <v>68</v>
      </c>
      <c r="S19" s="3" t="s">
        <v>67</v>
      </c>
      <c r="T19" s="3" t="s">
        <v>26</v>
      </c>
    </row>
    <row r="20" spans="1:20" ht="15" customHeight="1" x14ac:dyDescent="0.3">
      <c r="A20" s="3" t="s">
        <v>165</v>
      </c>
      <c r="B20" s="3" t="s">
        <v>166</v>
      </c>
      <c r="C20" s="3" t="s">
        <v>4</v>
      </c>
      <c r="D20" s="3" t="s">
        <v>167</v>
      </c>
      <c r="E20" s="3" t="s">
        <v>168</v>
      </c>
      <c r="F20" s="3" t="s">
        <v>112</v>
      </c>
      <c r="G20" s="3" t="s">
        <v>169</v>
      </c>
      <c r="H20" s="3" t="s">
        <v>18</v>
      </c>
      <c r="I20" s="3">
        <v>162</v>
      </c>
      <c r="J20" s="3" t="s">
        <v>102</v>
      </c>
      <c r="K20" s="3" t="s">
        <v>3</v>
      </c>
      <c r="L20" s="3" t="s">
        <v>82</v>
      </c>
      <c r="M20" s="4">
        <v>124900</v>
      </c>
      <c r="N20" s="5">
        <v>3.3</v>
      </c>
      <c r="O20" s="4">
        <f t="shared" si="0"/>
        <v>4121.7</v>
      </c>
      <c r="P20" s="4">
        <f t="shared" si="1"/>
        <v>120778.3</v>
      </c>
      <c r="Q20" s="3" t="s">
        <v>28</v>
      </c>
      <c r="R20" s="3" t="s">
        <v>68</v>
      </c>
      <c r="S20" s="3" t="s">
        <v>67</v>
      </c>
      <c r="T20" s="3" t="s">
        <v>26</v>
      </c>
    </row>
    <row r="21" spans="1:20" ht="15" customHeight="1" x14ac:dyDescent="0.3">
      <c r="A21" s="3" t="s">
        <v>170</v>
      </c>
      <c r="B21" s="3" t="s">
        <v>171</v>
      </c>
      <c r="C21" s="3" t="s">
        <v>12</v>
      </c>
      <c r="D21" s="3" t="s">
        <v>172</v>
      </c>
      <c r="E21" s="3" t="s">
        <v>173</v>
      </c>
      <c r="F21" s="3" t="s">
        <v>174</v>
      </c>
      <c r="G21" s="3" t="s">
        <v>146</v>
      </c>
      <c r="H21" s="3" t="s">
        <v>18</v>
      </c>
      <c r="I21" s="3">
        <v>110</v>
      </c>
      <c r="J21" s="3" t="s">
        <v>119</v>
      </c>
      <c r="K21" s="3" t="s">
        <v>9</v>
      </c>
      <c r="L21" s="3" t="s">
        <v>103</v>
      </c>
      <c r="M21" s="4">
        <v>74900</v>
      </c>
      <c r="N21" s="5">
        <v>6.1</v>
      </c>
      <c r="O21" s="4">
        <f t="shared" si="0"/>
        <v>4568.8999999999996</v>
      </c>
      <c r="P21" s="4">
        <f t="shared" si="1"/>
        <v>70331.100000000006</v>
      </c>
      <c r="Q21" s="3" t="s">
        <v>38</v>
      </c>
      <c r="R21" s="3" t="s">
        <v>67</v>
      </c>
      <c r="S21" s="3" t="s">
        <v>68</v>
      </c>
      <c r="T21" s="3" t="s">
        <v>26</v>
      </c>
    </row>
    <row r="22" spans="1:20" ht="15" customHeight="1" x14ac:dyDescent="0.3">
      <c r="A22" s="3" t="s">
        <v>175</v>
      </c>
      <c r="B22" s="3" t="s">
        <v>176</v>
      </c>
      <c r="C22" s="3" t="s">
        <v>10</v>
      </c>
      <c r="D22" s="3" t="s">
        <v>177</v>
      </c>
      <c r="E22" s="3" t="s">
        <v>178</v>
      </c>
      <c r="F22" s="3" t="s">
        <v>112</v>
      </c>
      <c r="G22" s="3" t="s">
        <v>88</v>
      </c>
      <c r="H22" s="3" t="s">
        <v>18</v>
      </c>
      <c r="I22" s="3">
        <v>125</v>
      </c>
      <c r="J22" s="3" t="s">
        <v>179</v>
      </c>
      <c r="K22" s="3" t="s">
        <v>9</v>
      </c>
      <c r="L22" s="3" t="s">
        <v>136</v>
      </c>
      <c r="M22" s="4">
        <v>94900</v>
      </c>
      <c r="N22" s="5">
        <v>13.5</v>
      </c>
      <c r="O22" s="4">
        <f t="shared" si="0"/>
        <v>12811.5</v>
      </c>
      <c r="P22" s="4">
        <f t="shared" si="1"/>
        <v>82088.5</v>
      </c>
      <c r="Q22" s="3" t="s">
        <v>40</v>
      </c>
      <c r="R22" s="3" t="s">
        <v>67</v>
      </c>
      <c r="S22" s="3" t="s">
        <v>67</v>
      </c>
      <c r="T22" s="3" t="s">
        <v>26</v>
      </c>
    </row>
    <row r="23" spans="1:20" ht="15" customHeight="1" x14ac:dyDescent="0.3">
      <c r="A23" s="3" t="s">
        <v>180</v>
      </c>
      <c r="B23" s="3" t="s">
        <v>181</v>
      </c>
      <c r="C23" s="3" t="s">
        <v>4</v>
      </c>
      <c r="D23" s="3" t="s">
        <v>182</v>
      </c>
      <c r="E23" s="3" t="s">
        <v>183</v>
      </c>
      <c r="F23" s="3" t="s">
        <v>134</v>
      </c>
      <c r="G23" s="3" t="s">
        <v>184</v>
      </c>
      <c r="H23" s="3" t="s">
        <v>18</v>
      </c>
      <c r="I23" s="3">
        <v>125</v>
      </c>
      <c r="J23" s="3" t="s">
        <v>102</v>
      </c>
      <c r="K23" s="3" t="s">
        <v>11</v>
      </c>
      <c r="L23" s="3" t="s">
        <v>90</v>
      </c>
      <c r="M23" s="4">
        <v>79900</v>
      </c>
      <c r="N23" s="5">
        <v>12.4</v>
      </c>
      <c r="O23" s="4">
        <f t="shared" si="0"/>
        <v>9907.6</v>
      </c>
      <c r="P23" s="4">
        <f t="shared" si="1"/>
        <v>69992.399999999994</v>
      </c>
      <c r="Q23" s="3" t="s">
        <v>28</v>
      </c>
      <c r="R23" s="3" t="s">
        <v>68</v>
      </c>
      <c r="S23" s="3" t="s">
        <v>67</v>
      </c>
      <c r="T23" s="3" t="s">
        <v>26</v>
      </c>
    </row>
    <row r="24" spans="1:20" ht="15" customHeight="1" x14ac:dyDescent="0.3">
      <c r="A24" s="3" t="s">
        <v>185</v>
      </c>
      <c r="B24" s="3" t="s">
        <v>186</v>
      </c>
      <c r="C24" s="3" t="s">
        <v>6</v>
      </c>
      <c r="D24" s="3" t="s">
        <v>187</v>
      </c>
      <c r="E24" s="3" t="s">
        <v>188</v>
      </c>
      <c r="F24" s="3" t="s">
        <v>134</v>
      </c>
      <c r="G24" s="3" t="s">
        <v>189</v>
      </c>
      <c r="H24" s="3" t="s">
        <v>18</v>
      </c>
      <c r="I24" s="3">
        <v>100</v>
      </c>
      <c r="J24" s="3" t="s">
        <v>164</v>
      </c>
      <c r="K24" s="3" t="s">
        <v>7</v>
      </c>
      <c r="L24" s="3" t="s">
        <v>103</v>
      </c>
      <c r="M24" s="4">
        <v>72900</v>
      </c>
      <c r="N24" s="5">
        <v>10.4</v>
      </c>
      <c r="O24" s="4">
        <f t="shared" si="0"/>
        <v>7581.6</v>
      </c>
      <c r="P24" s="4">
        <f t="shared" si="1"/>
        <v>65318.400000000001</v>
      </c>
      <c r="Q24" s="3" t="s">
        <v>34</v>
      </c>
      <c r="R24" s="3" t="s">
        <v>67</v>
      </c>
      <c r="S24" s="3" t="s">
        <v>67</v>
      </c>
      <c r="T24" s="3" t="s">
        <v>26</v>
      </c>
    </row>
    <row r="25" spans="1:20" ht="15" customHeight="1" x14ac:dyDescent="0.3">
      <c r="A25" s="3" t="s">
        <v>190</v>
      </c>
      <c r="B25" s="3" t="s">
        <v>191</v>
      </c>
      <c r="C25" s="3" t="s">
        <v>14</v>
      </c>
      <c r="D25" s="3" t="s">
        <v>192</v>
      </c>
      <c r="E25" s="3" t="s">
        <v>193</v>
      </c>
      <c r="F25" s="3" t="s">
        <v>174</v>
      </c>
      <c r="G25" s="3" t="s">
        <v>88</v>
      </c>
      <c r="H25" s="3" t="s">
        <v>18</v>
      </c>
      <c r="I25" s="3">
        <v>125</v>
      </c>
      <c r="J25" s="3" t="s">
        <v>119</v>
      </c>
      <c r="K25" s="3" t="s">
        <v>7</v>
      </c>
      <c r="L25" s="3" t="s">
        <v>82</v>
      </c>
      <c r="M25" s="4">
        <v>94900</v>
      </c>
      <c r="N25" s="5">
        <v>8</v>
      </c>
      <c r="O25" s="4">
        <f t="shared" si="0"/>
        <v>7592</v>
      </c>
      <c r="P25" s="4">
        <f t="shared" si="1"/>
        <v>87308</v>
      </c>
      <c r="Q25" s="3" t="s">
        <v>25</v>
      </c>
      <c r="R25" s="3" t="s">
        <v>67</v>
      </c>
      <c r="S25" s="3" t="s">
        <v>68</v>
      </c>
      <c r="T25" s="3" t="s">
        <v>26</v>
      </c>
    </row>
    <row r="26" spans="1:20" ht="15" customHeight="1" x14ac:dyDescent="0.3">
      <c r="A26" s="3" t="s">
        <v>194</v>
      </c>
      <c r="B26" s="3" t="s">
        <v>142</v>
      </c>
      <c r="C26" s="3" t="s">
        <v>16</v>
      </c>
      <c r="D26" s="3" t="s">
        <v>195</v>
      </c>
      <c r="E26" s="3" t="s">
        <v>196</v>
      </c>
      <c r="F26" s="3" t="s">
        <v>174</v>
      </c>
      <c r="G26" s="3" t="s">
        <v>135</v>
      </c>
      <c r="H26" s="3" t="s">
        <v>19</v>
      </c>
      <c r="I26" s="3">
        <v>160</v>
      </c>
      <c r="J26" s="3" t="s">
        <v>179</v>
      </c>
      <c r="K26" s="3" t="s">
        <v>11</v>
      </c>
      <c r="L26" s="3" t="s">
        <v>103</v>
      </c>
      <c r="M26" s="4">
        <v>124900</v>
      </c>
      <c r="N26" s="5">
        <v>4.7</v>
      </c>
      <c r="O26" s="4">
        <f t="shared" si="0"/>
        <v>5870.3</v>
      </c>
      <c r="P26" s="4">
        <f t="shared" si="1"/>
        <v>119029.7</v>
      </c>
      <c r="Q26" s="3" t="s">
        <v>38</v>
      </c>
      <c r="R26" s="3" t="s">
        <v>67</v>
      </c>
      <c r="S26" s="3" t="s">
        <v>68</v>
      </c>
      <c r="T26" s="3" t="s">
        <v>26</v>
      </c>
    </row>
    <row r="27" spans="1:20" ht="15" customHeight="1" x14ac:dyDescent="0.3">
      <c r="A27" s="3" t="s">
        <v>197</v>
      </c>
      <c r="B27" s="3" t="s">
        <v>198</v>
      </c>
      <c r="C27" s="3" t="s">
        <v>2</v>
      </c>
      <c r="D27" s="3" t="s">
        <v>199</v>
      </c>
      <c r="E27" s="3" t="s">
        <v>200</v>
      </c>
      <c r="F27" s="3" t="s">
        <v>112</v>
      </c>
      <c r="G27" s="3" t="s">
        <v>201</v>
      </c>
      <c r="H27" s="3" t="s">
        <v>19</v>
      </c>
      <c r="I27" s="3">
        <v>160</v>
      </c>
      <c r="J27" s="3" t="s">
        <v>81</v>
      </c>
      <c r="K27" s="3" t="s">
        <v>7</v>
      </c>
      <c r="L27" s="3" t="s">
        <v>103</v>
      </c>
      <c r="M27" s="4">
        <v>129900</v>
      </c>
      <c r="N27" s="5">
        <v>8.1</v>
      </c>
      <c r="O27" s="4">
        <f t="shared" si="0"/>
        <v>10521.9</v>
      </c>
      <c r="P27" s="4">
        <f t="shared" si="1"/>
        <v>119378.1</v>
      </c>
      <c r="Q27" s="3" t="s">
        <v>38</v>
      </c>
      <c r="R27" s="3" t="s">
        <v>67</v>
      </c>
      <c r="S27" s="3" t="s">
        <v>68</v>
      </c>
      <c r="T27" s="3" t="s">
        <v>26</v>
      </c>
    </row>
    <row r="28" spans="1:20" ht="15" customHeight="1" x14ac:dyDescent="0.3">
      <c r="A28" s="3" t="s">
        <v>202</v>
      </c>
      <c r="B28" s="3" t="s">
        <v>203</v>
      </c>
      <c r="C28" s="3" t="s">
        <v>10</v>
      </c>
      <c r="D28" s="3" t="s">
        <v>204</v>
      </c>
      <c r="E28" s="3" t="s">
        <v>205</v>
      </c>
      <c r="F28" s="3" t="s">
        <v>155</v>
      </c>
      <c r="G28" s="3" t="s">
        <v>118</v>
      </c>
      <c r="H28" s="3" t="s">
        <v>20</v>
      </c>
      <c r="I28" s="3">
        <v>350</v>
      </c>
      <c r="J28" s="3" t="s">
        <v>102</v>
      </c>
      <c r="K28" s="3" t="s">
        <v>9</v>
      </c>
      <c r="L28" s="3" t="s">
        <v>206</v>
      </c>
      <c r="M28" s="4">
        <v>159900</v>
      </c>
      <c r="N28" s="5">
        <v>9.1</v>
      </c>
      <c r="O28" s="4">
        <f t="shared" si="0"/>
        <v>14550.9</v>
      </c>
      <c r="P28" s="4">
        <f t="shared" si="1"/>
        <v>145349.1</v>
      </c>
      <c r="Q28" s="3" t="s">
        <v>25</v>
      </c>
      <c r="R28" s="3" t="s">
        <v>68</v>
      </c>
      <c r="S28" s="3" t="s">
        <v>68</v>
      </c>
      <c r="T28" s="3" t="s">
        <v>26</v>
      </c>
    </row>
    <row r="29" spans="1:20" ht="15" customHeight="1" x14ac:dyDescent="0.3">
      <c r="A29" s="3" t="s">
        <v>207</v>
      </c>
      <c r="B29" s="3" t="s">
        <v>208</v>
      </c>
      <c r="C29" s="3" t="s">
        <v>2</v>
      </c>
      <c r="D29" s="3" t="s">
        <v>209</v>
      </c>
      <c r="E29" s="3" t="s">
        <v>210</v>
      </c>
      <c r="F29" s="3" t="s">
        <v>174</v>
      </c>
      <c r="G29" s="3" t="s">
        <v>211</v>
      </c>
      <c r="H29" s="3" t="s">
        <v>20</v>
      </c>
      <c r="I29" s="3">
        <v>350</v>
      </c>
      <c r="J29" s="3" t="s">
        <v>89</v>
      </c>
      <c r="K29" s="3" t="s">
        <v>11</v>
      </c>
      <c r="L29" s="3" t="s">
        <v>206</v>
      </c>
      <c r="M29" s="4">
        <v>199900</v>
      </c>
      <c r="N29" s="5">
        <v>7.9</v>
      </c>
      <c r="O29" s="4">
        <f t="shared" si="0"/>
        <v>15792.1</v>
      </c>
      <c r="P29" s="4">
        <f t="shared" si="1"/>
        <v>184107.9</v>
      </c>
      <c r="Q29" s="3" t="s">
        <v>25</v>
      </c>
      <c r="R29" s="3" t="s">
        <v>67</v>
      </c>
      <c r="S29" s="3" t="s">
        <v>67</v>
      </c>
      <c r="T29" s="3" t="s">
        <v>26</v>
      </c>
    </row>
    <row r="30" spans="1:20" ht="15" customHeight="1" x14ac:dyDescent="0.3">
      <c r="A30" s="3" t="s">
        <v>212</v>
      </c>
      <c r="B30" s="3" t="s">
        <v>213</v>
      </c>
      <c r="C30" s="3" t="s">
        <v>8</v>
      </c>
      <c r="D30" s="3" t="s">
        <v>214</v>
      </c>
      <c r="E30" s="3" t="s">
        <v>215</v>
      </c>
      <c r="F30" s="3" t="s">
        <v>174</v>
      </c>
      <c r="G30" s="3" t="s">
        <v>189</v>
      </c>
      <c r="H30" s="3" t="s">
        <v>18</v>
      </c>
      <c r="I30" s="3">
        <v>100</v>
      </c>
      <c r="J30" s="3" t="s">
        <v>164</v>
      </c>
      <c r="K30" s="3" t="s">
        <v>5</v>
      </c>
      <c r="L30" s="3" t="s">
        <v>97</v>
      </c>
      <c r="M30" s="4">
        <v>72900</v>
      </c>
      <c r="N30" s="5">
        <v>10.3</v>
      </c>
      <c r="O30" s="4">
        <f t="shared" si="0"/>
        <v>7508.7</v>
      </c>
      <c r="P30" s="4">
        <f t="shared" si="1"/>
        <v>65391.3</v>
      </c>
      <c r="Q30" s="3" t="s">
        <v>40</v>
      </c>
      <c r="R30" s="3" t="s">
        <v>67</v>
      </c>
      <c r="S30" s="3" t="s">
        <v>68</v>
      </c>
      <c r="T30" s="3" t="s">
        <v>26</v>
      </c>
    </row>
    <row r="31" spans="1:20" ht="15" customHeight="1" x14ac:dyDescent="0.3">
      <c r="A31" s="3" t="s">
        <v>216</v>
      </c>
      <c r="B31" s="3" t="s">
        <v>109</v>
      </c>
      <c r="C31" s="3" t="s">
        <v>2</v>
      </c>
      <c r="D31" s="3" t="s">
        <v>217</v>
      </c>
      <c r="E31" s="3" t="s">
        <v>218</v>
      </c>
      <c r="F31" s="3" t="s">
        <v>174</v>
      </c>
      <c r="G31" s="3" t="s">
        <v>211</v>
      </c>
      <c r="H31" s="3" t="s">
        <v>20</v>
      </c>
      <c r="I31" s="3">
        <v>350</v>
      </c>
      <c r="J31" s="3" t="s">
        <v>129</v>
      </c>
      <c r="K31" s="3" t="s">
        <v>9</v>
      </c>
      <c r="L31" s="3" t="s">
        <v>66</v>
      </c>
      <c r="M31" s="4">
        <v>199900</v>
      </c>
      <c r="N31" s="5">
        <v>14.3</v>
      </c>
      <c r="O31" s="4">
        <f t="shared" si="0"/>
        <v>28585.7</v>
      </c>
      <c r="P31" s="4">
        <f t="shared" si="1"/>
        <v>171314.3</v>
      </c>
      <c r="Q31" s="3" t="s">
        <v>28</v>
      </c>
      <c r="R31" s="3" t="s">
        <v>67</v>
      </c>
      <c r="S31" s="3" t="s">
        <v>68</v>
      </c>
      <c r="T31" s="3" t="s">
        <v>26</v>
      </c>
    </row>
    <row r="32" spans="1:20" ht="15" customHeight="1" x14ac:dyDescent="0.3">
      <c r="A32" s="3" t="s">
        <v>219</v>
      </c>
      <c r="B32" s="3" t="s">
        <v>186</v>
      </c>
      <c r="C32" s="3" t="s">
        <v>6</v>
      </c>
      <c r="D32" s="3" t="s">
        <v>220</v>
      </c>
      <c r="E32" s="3" t="s">
        <v>221</v>
      </c>
      <c r="F32" s="3" t="s">
        <v>174</v>
      </c>
      <c r="G32" s="3" t="s">
        <v>222</v>
      </c>
      <c r="H32" s="3" t="s">
        <v>19</v>
      </c>
      <c r="I32" s="3">
        <v>155</v>
      </c>
      <c r="J32" s="3" t="s">
        <v>81</v>
      </c>
      <c r="K32" s="3" t="s">
        <v>11</v>
      </c>
      <c r="L32" s="3" t="s">
        <v>82</v>
      </c>
      <c r="M32" s="4">
        <v>167900</v>
      </c>
      <c r="N32" s="5">
        <v>6.2</v>
      </c>
      <c r="O32" s="4">
        <f t="shared" si="0"/>
        <v>10409.799999999999</v>
      </c>
      <c r="P32" s="4">
        <f t="shared" si="1"/>
        <v>157490.20000000001</v>
      </c>
      <c r="Q32" s="3" t="s">
        <v>25</v>
      </c>
      <c r="R32" s="3" t="s">
        <v>68</v>
      </c>
      <c r="S32" s="3" t="s">
        <v>68</v>
      </c>
      <c r="T32" s="3" t="s">
        <v>26</v>
      </c>
    </row>
    <row r="33" spans="1:20" ht="15" customHeight="1" x14ac:dyDescent="0.3">
      <c r="A33" s="3" t="s">
        <v>223</v>
      </c>
      <c r="B33" s="3" t="s">
        <v>224</v>
      </c>
      <c r="C33" s="3" t="s">
        <v>0</v>
      </c>
      <c r="D33" s="3" t="s">
        <v>225</v>
      </c>
      <c r="E33" s="3" t="s">
        <v>226</v>
      </c>
      <c r="F33" s="3" t="s">
        <v>145</v>
      </c>
      <c r="G33" s="3" t="s">
        <v>222</v>
      </c>
      <c r="H33" s="3" t="s">
        <v>19</v>
      </c>
      <c r="I33" s="3">
        <v>155</v>
      </c>
      <c r="J33" s="3" t="s">
        <v>164</v>
      </c>
      <c r="K33" s="3" t="s">
        <v>11</v>
      </c>
      <c r="L33" s="3" t="s">
        <v>74</v>
      </c>
      <c r="M33" s="4">
        <v>167900</v>
      </c>
      <c r="N33" s="5">
        <v>10.9</v>
      </c>
      <c r="O33" s="4">
        <f t="shared" si="0"/>
        <v>18301.099999999999</v>
      </c>
      <c r="P33" s="4">
        <f t="shared" si="1"/>
        <v>149598.9</v>
      </c>
      <c r="Q33" s="3" t="s">
        <v>38</v>
      </c>
      <c r="R33" s="3" t="s">
        <v>67</v>
      </c>
      <c r="S33" s="3" t="s">
        <v>67</v>
      </c>
      <c r="T33" s="3" t="s">
        <v>26</v>
      </c>
    </row>
    <row r="34" spans="1:20" ht="15" customHeight="1" x14ac:dyDescent="0.3">
      <c r="A34" s="3" t="s">
        <v>227</v>
      </c>
      <c r="B34" s="3" t="s">
        <v>152</v>
      </c>
      <c r="C34" s="3" t="s">
        <v>6</v>
      </c>
      <c r="D34" s="3" t="s">
        <v>228</v>
      </c>
      <c r="E34" s="3" t="s">
        <v>229</v>
      </c>
      <c r="F34" s="3" t="s">
        <v>112</v>
      </c>
      <c r="G34" s="3" t="s">
        <v>118</v>
      </c>
      <c r="H34" s="3" t="s">
        <v>20</v>
      </c>
      <c r="I34" s="3">
        <v>350</v>
      </c>
      <c r="J34" s="3" t="s">
        <v>102</v>
      </c>
      <c r="K34" s="3" t="s">
        <v>1</v>
      </c>
      <c r="L34" s="3" t="s">
        <v>82</v>
      </c>
      <c r="M34" s="4">
        <v>159900</v>
      </c>
      <c r="N34" s="5">
        <v>3.2</v>
      </c>
      <c r="O34" s="4">
        <f t="shared" si="0"/>
        <v>5116.8</v>
      </c>
      <c r="P34" s="4">
        <f t="shared" si="1"/>
        <v>154783.20000000001</v>
      </c>
      <c r="Q34" s="3" t="s">
        <v>25</v>
      </c>
      <c r="R34" s="3" t="s">
        <v>67</v>
      </c>
      <c r="S34" s="3" t="s">
        <v>68</v>
      </c>
      <c r="T34" s="3" t="s">
        <v>26</v>
      </c>
    </row>
    <row r="35" spans="1:20" ht="15" customHeight="1" x14ac:dyDescent="0.3">
      <c r="A35" s="3" t="s">
        <v>230</v>
      </c>
      <c r="B35" s="3" t="s">
        <v>198</v>
      </c>
      <c r="C35" s="3" t="s">
        <v>2</v>
      </c>
      <c r="D35" s="3" t="s">
        <v>231</v>
      </c>
      <c r="E35" s="3" t="s">
        <v>232</v>
      </c>
      <c r="F35" s="3" t="s">
        <v>174</v>
      </c>
      <c r="G35" s="3" t="s">
        <v>184</v>
      </c>
      <c r="H35" s="3" t="s">
        <v>18</v>
      </c>
      <c r="I35" s="3">
        <v>125</v>
      </c>
      <c r="J35" s="3" t="s">
        <v>96</v>
      </c>
      <c r="K35" s="3" t="s">
        <v>3</v>
      </c>
      <c r="L35" s="3" t="s">
        <v>82</v>
      </c>
      <c r="M35" s="4">
        <v>79900</v>
      </c>
      <c r="N35" s="5">
        <v>6.2</v>
      </c>
      <c r="O35" s="4">
        <f t="shared" si="0"/>
        <v>4953.8</v>
      </c>
      <c r="P35" s="4">
        <f t="shared" si="1"/>
        <v>74946.2</v>
      </c>
      <c r="Q35" s="3" t="s">
        <v>31</v>
      </c>
      <c r="R35" s="3" t="s">
        <v>68</v>
      </c>
      <c r="S35" s="3" t="s">
        <v>68</v>
      </c>
      <c r="T35" s="3" t="s">
        <v>26</v>
      </c>
    </row>
    <row r="36" spans="1:20" ht="15" customHeight="1" x14ac:dyDescent="0.3">
      <c r="A36" s="3" t="s">
        <v>233</v>
      </c>
      <c r="B36" s="3" t="s">
        <v>234</v>
      </c>
      <c r="C36" s="3" t="s">
        <v>14</v>
      </c>
      <c r="D36" s="3" t="s">
        <v>235</v>
      </c>
      <c r="E36" s="3" t="s">
        <v>236</v>
      </c>
      <c r="F36" s="3" t="s">
        <v>145</v>
      </c>
      <c r="G36" s="3" t="s">
        <v>64</v>
      </c>
      <c r="H36" s="3" t="s">
        <v>19</v>
      </c>
      <c r="I36" s="3">
        <v>200</v>
      </c>
      <c r="J36" s="3" t="s">
        <v>179</v>
      </c>
      <c r="K36" s="3" t="s">
        <v>1</v>
      </c>
      <c r="L36" s="3" t="s">
        <v>103</v>
      </c>
      <c r="M36" s="4">
        <v>199900</v>
      </c>
      <c r="N36" s="5">
        <v>7.6</v>
      </c>
      <c r="O36" s="4">
        <f t="shared" si="0"/>
        <v>15192.4</v>
      </c>
      <c r="P36" s="4">
        <f t="shared" si="1"/>
        <v>184707.6</v>
      </c>
      <c r="Q36" s="3" t="s">
        <v>38</v>
      </c>
      <c r="R36" s="3" t="s">
        <v>67</v>
      </c>
      <c r="S36" s="3" t="s">
        <v>68</v>
      </c>
      <c r="T36" s="3" t="s">
        <v>32</v>
      </c>
    </row>
    <row r="37" spans="1:20" ht="15" customHeight="1" x14ac:dyDescent="0.3">
      <c r="A37" s="3" t="s">
        <v>237</v>
      </c>
      <c r="B37" s="3" t="s">
        <v>152</v>
      </c>
      <c r="C37" s="3" t="s">
        <v>6</v>
      </c>
      <c r="D37" s="3" t="s">
        <v>238</v>
      </c>
      <c r="E37" s="3" t="s">
        <v>239</v>
      </c>
      <c r="F37" s="3" t="s">
        <v>63</v>
      </c>
      <c r="G37" s="3" t="s">
        <v>211</v>
      </c>
      <c r="H37" s="3" t="s">
        <v>20</v>
      </c>
      <c r="I37" s="3">
        <v>350</v>
      </c>
      <c r="J37" s="3" t="s">
        <v>89</v>
      </c>
      <c r="K37" s="3" t="s">
        <v>9</v>
      </c>
      <c r="L37" s="3" t="s">
        <v>136</v>
      </c>
      <c r="M37" s="4">
        <v>199900</v>
      </c>
      <c r="N37" s="5">
        <v>7.7</v>
      </c>
      <c r="O37" s="4">
        <f t="shared" si="0"/>
        <v>15392.3</v>
      </c>
      <c r="P37" s="4">
        <f t="shared" si="1"/>
        <v>184507.7</v>
      </c>
      <c r="Q37" s="3" t="s">
        <v>28</v>
      </c>
      <c r="R37" s="3" t="s">
        <v>67</v>
      </c>
      <c r="S37" s="3" t="s">
        <v>68</v>
      </c>
      <c r="T37" s="3" t="s">
        <v>26</v>
      </c>
    </row>
    <row r="38" spans="1:20" ht="15" customHeight="1" x14ac:dyDescent="0.3">
      <c r="A38" s="3" t="s">
        <v>240</v>
      </c>
      <c r="B38" s="3" t="s">
        <v>70</v>
      </c>
      <c r="C38" s="3" t="s">
        <v>2</v>
      </c>
      <c r="D38" s="3" t="s">
        <v>241</v>
      </c>
      <c r="E38" s="3" t="s">
        <v>242</v>
      </c>
      <c r="F38" s="3" t="s">
        <v>87</v>
      </c>
      <c r="G38" s="3" t="s">
        <v>211</v>
      </c>
      <c r="H38" s="3" t="s">
        <v>20</v>
      </c>
      <c r="I38" s="3">
        <v>350</v>
      </c>
      <c r="J38" s="3" t="s">
        <v>243</v>
      </c>
      <c r="K38" s="3" t="s">
        <v>11</v>
      </c>
      <c r="L38" s="3" t="s">
        <v>82</v>
      </c>
      <c r="M38" s="4">
        <v>199900</v>
      </c>
      <c r="N38" s="5">
        <v>3.5</v>
      </c>
      <c r="O38" s="4">
        <f t="shared" si="0"/>
        <v>6996.5</v>
      </c>
      <c r="P38" s="4">
        <f t="shared" si="1"/>
        <v>192903.5</v>
      </c>
      <c r="Q38" s="3" t="s">
        <v>40</v>
      </c>
      <c r="R38" s="3" t="s">
        <v>67</v>
      </c>
      <c r="S38" s="3" t="s">
        <v>67</v>
      </c>
      <c r="T38" s="3" t="s">
        <v>26</v>
      </c>
    </row>
    <row r="39" spans="1:20" ht="15" customHeight="1" x14ac:dyDescent="0.3">
      <c r="A39" s="3" t="s">
        <v>244</v>
      </c>
      <c r="B39" s="3" t="s">
        <v>245</v>
      </c>
      <c r="C39" s="3" t="s">
        <v>14</v>
      </c>
      <c r="D39" s="3" t="s">
        <v>246</v>
      </c>
      <c r="E39" s="3" t="s">
        <v>247</v>
      </c>
      <c r="F39" s="3" t="s">
        <v>79</v>
      </c>
      <c r="G39" s="3" t="s">
        <v>73</v>
      </c>
      <c r="H39" s="3" t="s">
        <v>21</v>
      </c>
      <c r="I39" s="3">
        <v>110</v>
      </c>
      <c r="J39" s="3" t="s">
        <v>164</v>
      </c>
      <c r="K39" s="3" t="s">
        <v>1</v>
      </c>
      <c r="L39" s="3" t="s">
        <v>136</v>
      </c>
      <c r="M39" s="4">
        <v>79900</v>
      </c>
      <c r="N39" s="5">
        <v>4.5999999999999996</v>
      </c>
      <c r="O39" s="4">
        <f t="shared" si="0"/>
        <v>3675.4</v>
      </c>
      <c r="P39" s="4">
        <f t="shared" si="1"/>
        <v>76224.600000000006</v>
      </c>
      <c r="Q39" s="3" t="s">
        <v>40</v>
      </c>
      <c r="R39" s="3" t="s">
        <v>67</v>
      </c>
      <c r="S39" s="3" t="s">
        <v>68</v>
      </c>
      <c r="T39" s="3" t="s">
        <v>29</v>
      </c>
    </row>
    <row r="40" spans="1:20" ht="15" customHeight="1" x14ac:dyDescent="0.3">
      <c r="A40" s="3" t="s">
        <v>248</v>
      </c>
      <c r="B40" s="3" t="s">
        <v>249</v>
      </c>
      <c r="C40" s="3" t="s">
        <v>13</v>
      </c>
      <c r="D40" s="3" t="s">
        <v>250</v>
      </c>
      <c r="E40" s="3" t="s">
        <v>251</v>
      </c>
      <c r="F40" s="3" t="s">
        <v>145</v>
      </c>
      <c r="G40" s="3" t="s">
        <v>169</v>
      </c>
      <c r="H40" s="3" t="s">
        <v>18</v>
      </c>
      <c r="I40" s="3">
        <v>162</v>
      </c>
      <c r="J40" s="3" t="s">
        <v>243</v>
      </c>
      <c r="K40" s="3" t="s">
        <v>1</v>
      </c>
      <c r="L40" s="3" t="s">
        <v>90</v>
      </c>
      <c r="M40" s="4">
        <v>124900</v>
      </c>
      <c r="N40" s="5">
        <v>12.6</v>
      </c>
      <c r="O40" s="4">
        <f t="shared" si="0"/>
        <v>15737.4</v>
      </c>
      <c r="P40" s="4">
        <f t="shared" si="1"/>
        <v>109162.6</v>
      </c>
      <c r="Q40" s="3" t="s">
        <v>25</v>
      </c>
      <c r="R40" s="3" t="s">
        <v>68</v>
      </c>
      <c r="S40" s="3" t="s">
        <v>67</v>
      </c>
      <c r="T40" s="3" t="s">
        <v>32</v>
      </c>
    </row>
    <row r="41" spans="1:20" ht="15" customHeight="1" x14ac:dyDescent="0.3">
      <c r="A41" s="3" t="s">
        <v>252</v>
      </c>
      <c r="B41" s="3" t="s">
        <v>253</v>
      </c>
      <c r="C41" s="3" t="s">
        <v>17</v>
      </c>
      <c r="D41" s="3" t="s">
        <v>254</v>
      </c>
      <c r="E41" s="3" t="s">
        <v>255</v>
      </c>
      <c r="F41" s="3" t="s">
        <v>145</v>
      </c>
      <c r="G41" s="3" t="s">
        <v>256</v>
      </c>
      <c r="H41" s="3" t="s">
        <v>21</v>
      </c>
      <c r="I41" s="3">
        <v>110</v>
      </c>
      <c r="J41" s="3" t="s">
        <v>119</v>
      </c>
      <c r="K41" s="3" t="s">
        <v>11</v>
      </c>
      <c r="L41" s="3" t="s">
        <v>90</v>
      </c>
      <c r="M41" s="4">
        <v>80900</v>
      </c>
      <c r="N41" s="5">
        <v>8.9</v>
      </c>
      <c r="O41" s="4">
        <f t="shared" si="0"/>
        <v>7200.1</v>
      </c>
      <c r="P41" s="4">
        <f t="shared" si="1"/>
        <v>73699.899999999994</v>
      </c>
      <c r="Q41" s="3" t="s">
        <v>38</v>
      </c>
      <c r="R41" s="3" t="s">
        <v>67</v>
      </c>
      <c r="S41" s="3" t="s">
        <v>68</v>
      </c>
      <c r="T41" s="3" t="s">
        <v>29</v>
      </c>
    </row>
    <row r="42" spans="1:20" ht="15" customHeight="1" x14ac:dyDescent="0.3">
      <c r="A42" s="3" t="s">
        <v>257</v>
      </c>
      <c r="B42" s="3" t="s">
        <v>213</v>
      </c>
      <c r="C42" s="3" t="s">
        <v>8</v>
      </c>
      <c r="D42" s="3" t="s">
        <v>258</v>
      </c>
      <c r="E42" s="3" t="s">
        <v>259</v>
      </c>
      <c r="F42" s="3" t="s">
        <v>112</v>
      </c>
      <c r="G42" s="3" t="s">
        <v>95</v>
      </c>
      <c r="H42" s="3" t="s">
        <v>22</v>
      </c>
      <c r="I42" s="3">
        <v>0</v>
      </c>
      <c r="J42" s="3" t="s">
        <v>243</v>
      </c>
      <c r="K42" s="3" t="s">
        <v>11</v>
      </c>
      <c r="L42" s="3" t="s">
        <v>206</v>
      </c>
      <c r="M42" s="4">
        <v>139999</v>
      </c>
      <c r="N42" s="5">
        <v>10.5</v>
      </c>
      <c r="O42" s="4">
        <f t="shared" si="0"/>
        <v>14699.895</v>
      </c>
      <c r="P42" s="4">
        <f t="shared" si="1"/>
        <v>125299.105</v>
      </c>
      <c r="Q42" s="3" t="s">
        <v>25</v>
      </c>
      <c r="R42" s="3" t="s">
        <v>67</v>
      </c>
      <c r="S42" s="3" t="s">
        <v>68</v>
      </c>
      <c r="T42" s="3" t="s">
        <v>29</v>
      </c>
    </row>
    <row r="43" spans="1:20" ht="15" customHeight="1" x14ac:dyDescent="0.3">
      <c r="A43" s="3" t="s">
        <v>260</v>
      </c>
      <c r="B43" s="3" t="s">
        <v>261</v>
      </c>
      <c r="C43" s="3" t="s">
        <v>13</v>
      </c>
      <c r="D43" s="3" t="s">
        <v>262</v>
      </c>
      <c r="E43" s="3" t="s">
        <v>263</v>
      </c>
      <c r="F43" s="3" t="s">
        <v>174</v>
      </c>
      <c r="G43" s="3" t="s">
        <v>146</v>
      </c>
      <c r="H43" s="3" t="s">
        <v>18</v>
      </c>
      <c r="I43" s="3">
        <v>110</v>
      </c>
      <c r="J43" s="3" t="s">
        <v>243</v>
      </c>
      <c r="K43" s="3" t="s">
        <v>7</v>
      </c>
      <c r="L43" s="3" t="s">
        <v>90</v>
      </c>
      <c r="M43" s="4">
        <v>74900</v>
      </c>
      <c r="N43" s="5">
        <v>8.6</v>
      </c>
      <c r="O43" s="4">
        <f t="shared" si="0"/>
        <v>6441.4</v>
      </c>
      <c r="P43" s="4">
        <f t="shared" si="1"/>
        <v>68458.600000000006</v>
      </c>
      <c r="Q43" s="3" t="s">
        <v>31</v>
      </c>
      <c r="R43" s="3" t="s">
        <v>68</v>
      </c>
      <c r="S43" s="3" t="s">
        <v>67</v>
      </c>
      <c r="T43" s="3" t="s">
        <v>26</v>
      </c>
    </row>
    <row r="44" spans="1:20" ht="15" customHeight="1" x14ac:dyDescent="0.3">
      <c r="A44" s="3" t="s">
        <v>264</v>
      </c>
      <c r="B44" s="3" t="s">
        <v>109</v>
      </c>
      <c r="C44" s="3" t="s">
        <v>2</v>
      </c>
      <c r="D44" s="3" t="s">
        <v>265</v>
      </c>
      <c r="E44" s="3" t="s">
        <v>266</v>
      </c>
      <c r="F44" s="3" t="s">
        <v>134</v>
      </c>
      <c r="G44" s="3" t="s">
        <v>222</v>
      </c>
      <c r="H44" s="3" t="s">
        <v>19</v>
      </c>
      <c r="I44" s="3">
        <v>155</v>
      </c>
      <c r="J44" s="3" t="s">
        <v>243</v>
      </c>
      <c r="K44" s="3" t="s">
        <v>7</v>
      </c>
      <c r="L44" s="3" t="s">
        <v>66</v>
      </c>
      <c r="M44" s="4">
        <v>167900</v>
      </c>
      <c r="N44" s="5">
        <v>14</v>
      </c>
      <c r="O44" s="4">
        <f t="shared" si="0"/>
        <v>23506</v>
      </c>
      <c r="P44" s="4">
        <f t="shared" si="1"/>
        <v>144394</v>
      </c>
      <c r="Q44" s="3" t="s">
        <v>25</v>
      </c>
      <c r="R44" s="3" t="s">
        <v>67</v>
      </c>
      <c r="S44" s="3" t="s">
        <v>68</v>
      </c>
      <c r="T44" s="3" t="s">
        <v>32</v>
      </c>
    </row>
    <row r="45" spans="1:20" ht="15" customHeight="1" x14ac:dyDescent="0.3">
      <c r="A45" s="3" t="s">
        <v>267</v>
      </c>
      <c r="B45" s="3" t="s">
        <v>268</v>
      </c>
      <c r="C45" s="3" t="s">
        <v>4</v>
      </c>
      <c r="D45" s="3" t="s">
        <v>269</v>
      </c>
      <c r="E45" s="3" t="s">
        <v>270</v>
      </c>
      <c r="F45" s="3" t="s">
        <v>134</v>
      </c>
      <c r="G45" s="3" t="s">
        <v>156</v>
      </c>
      <c r="H45" s="3" t="s">
        <v>21</v>
      </c>
      <c r="I45" s="3">
        <v>125</v>
      </c>
      <c r="J45" s="3" t="s">
        <v>164</v>
      </c>
      <c r="K45" s="3" t="s">
        <v>11</v>
      </c>
      <c r="L45" s="3" t="s">
        <v>103</v>
      </c>
      <c r="M45" s="4">
        <v>88900</v>
      </c>
      <c r="N45" s="5">
        <v>5.8</v>
      </c>
      <c r="O45" s="4">
        <f t="shared" si="0"/>
        <v>5156.2</v>
      </c>
      <c r="P45" s="4">
        <f t="shared" si="1"/>
        <v>83743.8</v>
      </c>
      <c r="Q45" s="3" t="s">
        <v>28</v>
      </c>
      <c r="R45" s="3" t="s">
        <v>67</v>
      </c>
      <c r="S45" s="3" t="s">
        <v>68</v>
      </c>
      <c r="T45" s="3" t="s">
        <v>26</v>
      </c>
    </row>
    <row r="46" spans="1:20" ht="15" customHeight="1" x14ac:dyDescent="0.3">
      <c r="A46" s="3" t="s">
        <v>271</v>
      </c>
      <c r="B46" s="3" t="s">
        <v>272</v>
      </c>
      <c r="C46" s="3" t="s">
        <v>0</v>
      </c>
      <c r="D46" s="3" t="s">
        <v>273</v>
      </c>
      <c r="E46" s="3" t="s">
        <v>274</v>
      </c>
      <c r="F46" s="3" t="s">
        <v>124</v>
      </c>
      <c r="G46" s="3" t="s">
        <v>64</v>
      </c>
      <c r="H46" s="3" t="s">
        <v>19</v>
      </c>
      <c r="I46" s="3">
        <v>200</v>
      </c>
      <c r="J46" s="3" t="s">
        <v>89</v>
      </c>
      <c r="K46" s="3" t="s">
        <v>5</v>
      </c>
      <c r="L46" s="3" t="s">
        <v>97</v>
      </c>
      <c r="M46" s="4">
        <v>199900</v>
      </c>
      <c r="N46" s="5">
        <v>13.1</v>
      </c>
      <c r="O46" s="4">
        <f t="shared" si="0"/>
        <v>26186.9</v>
      </c>
      <c r="P46" s="4">
        <f t="shared" si="1"/>
        <v>173713.1</v>
      </c>
      <c r="Q46" s="3" t="s">
        <v>40</v>
      </c>
      <c r="R46" s="3" t="s">
        <v>68</v>
      </c>
      <c r="S46" s="3" t="s">
        <v>68</v>
      </c>
      <c r="T46" s="3" t="s">
        <v>26</v>
      </c>
    </row>
    <row r="47" spans="1:20" ht="15" customHeight="1" x14ac:dyDescent="0.3">
      <c r="A47" s="3" t="s">
        <v>275</v>
      </c>
      <c r="B47" s="3" t="s">
        <v>276</v>
      </c>
      <c r="C47" s="3" t="s">
        <v>12</v>
      </c>
      <c r="D47" s="3" t="s">
        <v>277</v>
      </c>
      <c r="E47" s="3" t="s">
        <v>278</v>
      </c>
      <c r="F47" s="3" t="s">
        <v>174</v>
      </c>
      <c r="G47" s="3" t="s">
        <v>64</v>
      </c>
      <c r="H47" s="3" t="s">
        <v>19</v>
      </c>
      <c r="I47" s="3">
        <v>200</v>
      </c>
      <c r="J47" s="3" t="s">
        <v>164</v>
      </c>
      <c r="K47" s="3" t="s">
        <v>7</v>
      </c>
      <c r="L47" s="3" t="s">
        <v>74</v>
      </c>
      <c r="M47" s="4">
        <v>199900</v>
      </c>
      <c r="N47" s="5">
        <v>15</v>
      </c>
      <c r="O47" s="4">
        <f t="shared" si="0"/>
        <v>29985</v>
      </c>
      <c r="P47" s="4">
        <f t="shared" si="1"/>
        <v>169915</v>
      </c>
      <c r="Q47" s="3" t="s">
        <v>40</v>
      </c>
      <c r="R47" s="3" t="s">
        <v>68</v>
      </c>
      <c r="S47" s="3" t="s">
        <v>68</v>
      </c>
      <c r="T47" s="3" t="s">
        <v>29</v>
      </c>
    </row>
    <row r="48" spans="1:20" ht="15" customHeight="1" x14ac:dyDescent="0.3">
      <c r="A48" s="3" t="s">
        <v>279</v>
      </c>
      <c r="B48" s="3" t="s">
        <v>213</v>
      </c>
      <c r="C48" s="3" t="s">
        <v>8</v>
      </c>
      <c r="D48" s="3" t="s">
        <v>280</v>
      </c>
      <c r="E48" s="3" t="s">
        <v>281</v>
      </c>
      <c r="F48" s="3" t="s">
        <v>174</v>
      </c>
      <c r="G48" s="3" t="s">
        <v>211</v>
      </c>
      <c r="H48" s="3" t="s">
        <v>20</v>
      </c>
      <c r="I48" s="3">
        <v>350</v>
      </c>
      <c r="J48" s="3" t="s">
        <v>119</v>
      </c>
      <c r="K48" s="3" t="s">
        <v>5</v>
      </c>
      <c r="L48" s="3" t="s">
        <v>74</v>
      </c>
      <c r="M48" s="4">
        <v>199900</v>
      </c>
      <c r="N48" s="5">
        <v>9.1</v>
      </c>
      <c r="O48" s="4">
        <f t="shared" si="0"/>
        <v>18190.900000000001</v>
      </c>
      <c r="P48" s="4">
        <f t="shared" si="1"/>
        <v>181709.1</v>
      </c>
      <c r="Q48" s="3" t="s">
        <v>25</v>
      </c>
      <c r="R48" s="3" t="s">
        <v>67</v>
      </c>
      <c r="S48" s="3" t="s">
        <v>68</v>
      </c>
      <c r="T48" s="3" t="s">
        <v>29</v>
      </c>
    </row>
    <row r="49" spans="1:20" ht="15" customHeight="1" x14ac:dyDescent="0.3">
      <c r="A49" s="3" t="s">
        <v>282</v>
      </c>
      <c r="B49" s="3" t="s">
        <v>176</v>
      </c>
      <c r="C49" s="3" t="s">
        <v>16</v>
      </c>
      <c r="D49" s="3" t="s">
        <v>283</v>
      </c>
      <c r="E49" s="3" t="s">
        <v>284</v>
      </c>
      <c r="F49" s="3" t="s">
        <v>155</v>
      </c>
      <c r="G49" s="3" t="s">
        <v>201</v>
      </c>
      <c r="H49" s="3" t="s">
        <v>19</v>
      </c>
      <c r="I49" s="3">
        <v>160</v>
      </c>
      <c r="J49" s="3" t="s">
        <v>96</v>
      </c>
      <c r="K49" s="3" t="s">
        <v>9</v>
      </c>
      <c r="L49" s="3" t="s">
        <v>82</v>
      </c>
      <c r="M49" s="4">
        <v>129900</v>
      </c>
      <c r="N49" s="5">
        <v>10.7</v>
      </c>
      <c r="O49" s="4">
        <f t="shared" si="0"/>
        <v>13899.3</v>
      </c>
      <c r="P49" s="4">
        <f t="shared" si="1"/>
        <v>116000.7</v>
      </c>
      <c r="Q49" s="3" t="s">
        <v>36</v>
      </c>
      <c r="R49" s="3" t="s">
        <v>67</v>
      </c>
      <c r="S49" s="3" t="s">
        <v>68</v>
      </c>
      <c r="T49" s="3" t="s">
        <v>26</v>
      </c>
    </row>
    <row r="50" spans="1:20" ht="15" customHeight="1" x14ac:dyDescent="0.3">
      <c r="A50" s="3" t="s">
        <v>285</v>
      </c>
      <c r="B50" s="3" t="s">
        <v>181</v>
      </c>
      <c r="C50" s="3" t="s">
        <v>4</v>
      </c>
      <c r="D50" s="3" t="s">
        <v>286</v>
      </c>
      <c r="E50" s="3" t="s">
        <v>287</v>
      </c>
      <c r="F50" s="3" t="s">
        <v>174</v>
      </c>
      <c r="G50" s="3" t="s">
        <v>156</v>
      </c>
      <c r="H50" s="3" t="s">
        <v>21</v>
      </c>
      <c r="I50" s="3">
        <v>125</v>
      </c>
      <c r="J50" s="3" t="s">
        <v>243</v>
      </c>
      <c r="K50" s="3" t="s">
        <v>7</v>
      </c>
      <c r="L50" s="3" t="s">
        <v>66</v>
      </c>
      <c r="M50" s="4">
        <v>88900</v>
      </c>
      <c r="N50" s="5">
        <v>6.6</v>
      </c>
      <c r="O50" s="4">
        <f t="shared" si="0"/>
        <v>5867.4</v>
      </c>
      <c r="P50" s="4">
        <f t="shared" si="1"/>
        <v>83032.600000000006</v>
      </c>
      <c r="Q50" s="3" t="s">
        <v>38</v>
      </c>
      <c r="R50" s="3" t="s">
        <v>67</v>
      </c>
      <c r="S50" s="3" t="s">
        <v>68</v>
      </c>
      <c r="T50" s="3" t="s">
        <v>26</v>
      </c>
    </row>
    <row r="51" spans="1:20" ht="15" customHeight="1" x14ac:dyDescent="0.3">
      <c r="A51" s="3" t="s">
        <v>288</v>
      </c>
      <c r="B51" s="3" t="s">
        <v>289</v>
      </c>
      <c r="C51" s="3" t="s">
        <v>4</v>
      </c>
      <c r="D51" s="3" t="s">
        <v>290</v>
      </c>
      <c r="E51" s="3" t="s">
        <v>291</v>
      </c>
      <c r="F51" s="3" t="s">
        <v>134</v>
      </c>
      <c r="G51" s="3" t="s">
        <v>73</v>
      </c>
      <c r="H51" s="3" t="s">
        <v>21</v>
      </c>
      <c r="I51" s="3">
        <v>110</v>
      </c>
      <c r="J51" s="3" t="s">
        <v>96</v>
      </c>
      <c r="K51" s="3" t="s">
        <v>5</v>
      </c>
      <c r="L51" s="3" t="s">
        <v>90</v>
      </c>
      <c r="M51" s="4">
        <v>79900</v>
      </c>
      <c r="N51" s="5">
        <v>8.1</v>
      </c>
      <c r="O51" s="4">
        <f t="shared" si="0"/>
        <v>6471.9</v>
      </c>
      <c r="P51" s="4">
        <f t="shared" si="1"/>
        <v>73428.100000000006</v>
      </c>
      <c r="Q51" s="3" t="s">
        <v>28</v>
      </c>
      <c r="R51" s="3" t="s">
        <v>67</v>
      </c>
      <c r="S51" s="3" t="s">
        <v>68</v>
      </c>
      <c r="T51" s="3" t="s">
        <v>26</v>
      </c>
    </row>
    <row r="52" spans="1:20" ht="15" customHeight="1" x14ac:dyDescent="0.3">
      <c r="A52" s="3" t="s">
        <v>292</v>
      </c>
      <c r="B52" s="3" t="s">
        <v>293</v>
      </c>
      <c r="C52" s="3" t="s">
        <v>10</v>
      </c>
      <c r="D52" s="3" t="s">
        <v>294</v>
      </c>
      <c r="E52" s="3" t="s">
        <v>295</v>
      </c>
      <c r="F52" s="3" t="s">
        <v>174</v>
      </c>
      <c r="G52" s="3" t="s">
        <v>256</v>
      </c>
      <c r="H52" s="3" t="s">
        <v>21</v>
      </c>
      <c r="I52" s="3">
        <v>110</v>
      </c>
      <c r="J52" s="3" t="s">
        <v>129</v>
      </c>
      <c r="K52" s="3" t="s">
        <v>11</v>
      </c>
      <c r="L52" s="3" t="s">
        <v>74</v>
      </c>
      <c r="M52" s="4">
        <v>80900</v>
      </c>
      <c r="N52" s="5">
        <v>7.6</v>
      </c>
      <c r="O52" s="4">
        <f t="shared" si="0"/>
        <v>6148.4</v>
      </c>
      <c r="P52" s="4">
        <f t="shared" si="1"/>
        <v>74751.600000000006</v>
      </c>
      <c r="Q52" s="3" t="s">
        <v>31</v>
      </c>
      <c r="R52" s="3" t="s">
        <v>67</v>
      </c>
      <c r="S52" s="3" t="s">
        <v>68</v>
      </c>
      <c r="T52" s="3" t="s">
        <v>26</v>
      </c>
    </row>
    <row r="53" spans="1:20" ht="15" customHeight="1" x14ac:dyDescent="0.3">
      <c r="A53" s="3" t="s">
        <v>296</v>
      </c>
      <c r="B53" s="3" t="s">
        <v>272</v>
      </c>
      <c r="C53" s="3" t="s">
        <v>0</v>
      </c>
      <c r="D53" s="3" t="s">
        <v>297</v>
      </c>
      <c r="E53" s="3" t="s">
        <v>298</v>
      </c>
      <c r="F53" s="3" t="s">
        <v>134</v>
      </c>
      <c r="G53" s="3" t="s">
        <v>146</v>
      </c>
      <c r="H53" s="3" t="s">
        <v>18</v>
      </c>
      <c r="I53" s="3">
        <v>110</v>
      </c>
      <c r="J53" s="3" t="s">
        <v>119</v>
      </c>
      <c r="K53" s="3" t="s">
        <v>1</v>
      </c>
      <c r="L53" s="3" t="s">
        <v>206</v>
      </c>
      <c r="M53" s="4">
        <v>74900</v>
      </c>
      <c r="N53" s="5">
        <v>13.8</v>
      </c>
      <c r="O53" s="4">
        <f t="shared" si="0"/>
        <v>10336.200000000001</v>
      </c>
      <c r="P53" s="4">
        <f t="shared" si="1"/>
        <v>64563.8</v>
      </c>
      <c r="Q53" s="3" t="s">
        <v>34</v>
      </c>
      <c r="R53" s="3" t="s">
        <v>67</v>
      </c>
      <c r="S53" s="3" t="s">
        <v>68</v>
      </c>
      <c r="T53" s="3" t="s">
        <v>26</v>
      </c>
    </row>
    <row r="54" spans="1:20" ht="15" customHeight="1" x14ac:dyDescent="0.3">
      <c r="A54" s="3" t="s">
        <v>299</v>
      </c>
      <c r="B54" s="3" t="s">
        <v>300</v>
      </c>
      <c r="C54" s="3" t="s">
        <v>12</v>
      </c>
      <c r="D54" s="3" t="s">
        <v>301</v>
      </c>
      <c r="E54" s="3" t="s">
        <v>302</v>
      </c>
      <c r="F54" s="3" t="s">
        <v>87</v>
      </c>
      <c r="G54" s="3" t="s">
        <v>169</v>
      </c>
      <c r="H54" s="3" t="s">
        <v>18</v>
      </c>
      <c r="I54" s="3">
        <v>162</v>
      </c>
      <c r="J54" s="3" t="s">
        <v>129</v>
      </c>
      <c r="K54" s="3" t="s">
        <v>1</v>
      </c>
      <c r="L54" s="3" t="s">
        <v>74</v>
      </c>
      <c r="M54" s="4">
        <v>124900</v>
      </c>
      <c r="N54" s="5">
        <v>14.2</v>
      </c>
      <c r="O54" s="4">
        <f t="shared" si="0"/>
        <v>17735.8</v>
      </c>
      <c r="P54" s="4">
        <f t="shared" si="1"/>
        <v>107164.2</v>
      </c>
      <c r="Q54" s="3" t="s">
        <v>40</v>
      </c>
      <c r="R54" s="3" t="s">
        <v>67</v>
      </c>
      <c r="S54" s="3" t="s">
        <v>68</v>
      </c>
      <c r="T54" s="3" t="s">
        <v>26</v>
      </c>
    </row>
    <row r="55" spans="1:20" ht="15" customHeight="1" x14ac:dyDescent="0.3">
      <c r="A55" s="3" t="s">
        <v>303</v>
      </c>
      <c r="B55" s="3" t="s">
        <v>304</v>
      </c>
      <c r="C55" s="3" t="s">
        <v>2</v>
      </c>
      <c r="D55" s="3" t="s">
        <v>305</v>
      </c>
      <c r="E55" s="3" t="s">
        <v>306</v>
      </c>
      <c r="F55" s="3" t="s">
        <v>63</v>
      </c>
      <c r="G55" s="3" t="s">
        <v>222</v>
      </c>
      <c r="H55" s="3" t="s">
        <v>19</v>
      </c>
      <c r="I55" s="3">
        <v>155</v>
      </c>
      <c r="J55" s="3" t="s">
        <v>164</v>
      </c>
      <c r="K55" s="3" t="s">
        <v>9</v>
      </c>
      <c r="L55" s="3" t="s">
        <v>136</v>
      </c>
      <c r="M55" s="4">
        <v>167900</v>
      </c>
      <c r="N55" s="5">
        <v>3</v>
      </c>
      <c r="O55" s="4">
        <f t="shared" si="0"/>
        <v>5037</v>
      </c>
      <c r="P55" s="4">
        <f t="shared" si="1"/>
        <v>162863</v>
      </c>
      <c r="Q55" s="3" t="s">
        <v>25</v>
      </c>
      <c r="R55" s="3" t="s">
        <v>67</v>
      </c>
      <c r="S55" s="3" t="s">
        <v>68</v>
      </c>
      <c r="T55" s="3" t="s">
        <v>32</v>
      </c>
    </row>
    <row r="56" spans="1:20" ht="15" customHeight="1" x14ac:dyDescent="0.3">
      <c r="A56" s="3" t="s">
        <v>307</v>
      </c>
      <c r="B56" s="3" t="s">
        <v>138</v>
      </c>
      <c r="C56" s="3" t="s">
        <v>16</v>
      </c>
      <c r="D56" s="3" t="s">
        <v>308</v>
      </c>
      <c r="E56" s="3" t="s">
        <v>309</v>
      </c>
      <c r="F56" s="3" t="s">
        <v>124</v>
      </c>
      <c r="G56" s="3" t="s">
        <v>135</v>
      </c>
      <c r="H56" s="3" t="s">
        <v>19</v>
      </c>
      <c r="I56" s="3">
        <v>160</v>
      </c>
      <c r="J56" s="3" t="s">
        <v>164</v>
      </c>
      <c r="K56" s="3" t="s">
        <v>1</v>
      </c>
      <c r="L56" s="3" t="s">
        <v>206</v>
      </c>
      <c r="M56" s="4">
        <v>124900</v>
      </c>
      <c r="N56" s="5">
        <v>9.3000000000000007</v>
      </c>
      <c r="O56" s="4">
        <f t="shared" si="0"/>
        <v>11615.7</v>
      </c>
      <c r="P56" s="4">
        <f t="shared" si="1"/>
        <v>113284.3</v>
      </c>
      <c r="Q56" s="3" t="s">
        <v>28</v>
      </c>
      <c r="R56" s="3" t="s">
        <v>67</v>
      </c>
      <c r="S56" s="3" t="s">
        <v>68</v>
      </c>
      <c r="T56" s="3" t="s">
        <v>26</v>
      </c>
    </row>
    <row r="57" spans="1:20" ht="15" customHeight="1" x14ac:dyDescent="0.3">
      <c r="A57" s="3" t="s">
        <v>310</v>
      </c>
      <c r="B57" s="3" t="s">
        <v>131</v>
      </c>
      <c r="C57" s="3" t="s">
        <v>15</v>
      </c>
      <c r="D57" s="3" t="s">
        <v>311</v>
      </c>
      <c r="E57" s="3" t="s">
        <v>312</v>
      </c>
      <c r="F57" s="3" t="s">
        <v>174</v>
      </c>
      <c r="G57" s="3" t="s">
        <v>95</v>
      </c>
      <c r="H57" s="3" t="s">
        <v>22</v>
      </c>
      <c r="I57" s="3">
        <v>0</v>
      </c>
      <c r="J57" s="3" t="s">
        <v>119</v>
      </c>
      <c r="K57" s="3" t="s">
        <v>7</v>
      </c>
      <c r="L57" s="3" t="s">
        <v>66</v>
      </c>
      <c r="M57" s="4">
        <v>139999</v>
      </c>
      <c r="N57" s="5">
        <v>9.6</v>
      </c>
      <c r="O57" s="4">
        <f t="shared" si="0"/>
        <v>13439.903999999999</v>
      </c>
      <c r="P57" s="4">
        <f t="shared" si="1"/>
        <v>126559.09600000001</v>
      </c>
      <c r="Q57" s="3" t="s">
        <v>38</v>
      </c>
      <c r="R57" s="3" t="s">
        <v>68</v>
      </c>
      <c r="S57" s="3" t="s">
        <v>68</v>
      </c>
      <c r="T57" s="3" t="s">
        <v>26</v>
      </c>
    </row>
    <row r="58" spans="1:20" ht="15" customHeight="1" x14ac:dyDescent="0.3">
      <c r="A58" s="3" t="s">
        <v>313</v>
      </c>
      <c r="B58" s="3" t="s">
        <v>213</v>
      </c>
      <c r="C58" s="3" t="s">
        <v>8</v>
      </c>
      <c r="D58" s="3" t="s">
        <v>314</v>
      </c>
      <c r="E58" s="3" t="s">
        <v>315</v>
      </c>
      <c r="F58" s="3" t="s">
        <v>124</v>
      </c>
      <c r="G58" s="3" t="s">
        <v>316</v>
      </c>
      <c r="H58" s="3" t="s">
        <v>19</v>
      </c>
      <c r="I58" s="3">
        <v>150</v>
      </c>
      <c r="J58" s="3" t="s">
        <v>243</v>
      </c>
      <c r="K58" s="3" t="s">
        <v>3</v>
      </c>
      <c r="L58" s="3" t="s">
        <v>74</v>
      </c>
      <c r="M58" s="4">
        <v>109900</v>
      </c>
      <c r="N58" s="5">
        <v>14.1</v>
      </c>
      <c r="O58" s="4">
        <f t="shared" si="0"/>
        <v>15495.9</v>
      </c>
      <c r="P58" s="4">
        <f t="shared" si="1"/>
        <v>94404.1</v>
      </c>
      <c r="Q58" s="3" t="s">
        <v>38</v>
      </c>
      <c r="R58" s="3" t="s">
        <v>67</v>
      </c>
      <c r="S58" s="3" t="s">
        <v>68</v>
      </c>
      <c r="T58" s="3" t="s">
        <v>26</v>
      </c>
    </row>
    <row r="59" spans="1:20" ht="15" customHeight="1" x14ac:dyDescent="0.3">
      <c r="A59" s="3" t="s">
        <v>317</v>
      </c>
      <c r="B59" s="3" t="s">
        <v>318</v>
      </c>
      <c r="C59" s="3" t="s">
        <v>10</v>
      </c>
      <c r="D59" s="3" t="s">
        <v>319</v>
      </c>
      <c r="E59" s="3" t="s">
        <v>320</v>
      </c>
      <c r="F59" s="3" t="s">
        <v>174</v>
      </c>
      <c r="G59" s="3" t="s">
        <v>146</v>
      </c>
      <c r="H59" s="3" t="s">
        <v>18</v>
      </c>
      <c r="I59" s="3">
        <v>110</v>
      </c>
      <c r="J59" s="3" t="s">
        <v>164</v>
      </c>
      <c r="K59" s="3" t="s">
        <v>3</v>
      </c>
      <c r="L59" s="3" t="s">
        <v>90</v>
      </c>
      <c r="M59" s="4">
        <v>74900</v>
      </c>
      <c r="N59" s="5">
        <v>14.6</v>
      </c>
      <c r="O59" s="4">
        <f t="shared" si="0"/>
        <v>10935.4</v>
      </c>
      <c r="P59" s="4">
        <f t="shared" si="1"/>
        <v>63964.6</v>
      </c>
      <c r="Q59" s="3" t="s">
        <v>34</v>
      </c>
      <c r="R59" s="3" t="s">
        <v>67</v>
      </c>
      <c r="S59" s="3" t="s">
        <v>68</v>
      </c>
      <c r="T59" s="3" t="s">
        <v>26</v>
      </c>
    </row>
    <row r="60" spans="1:20" ht="15" customHeight="1" x14ac:dyDescent="0.3">
      <c r="A60" s="3" t="s">
        <v>321</v>
      </c>
      <c r="B60" s="3" t="s">
        <v>186</v>
      </c>
      <c r="C60" s="3" t="s">
        <v>6</v>
      </c>
      <c r="D60" s="3" t="s">
        <v>322</v>
      </c>
      <c r="E60" s="3" t="s">
        <v>323</v>
      </c>
      <c r="F60" s="3" t="s">
        <v>79</v>
      </c>
      <c r="G60" s="3" t="s">
        <v>324</v>
      </c>
      <c r="H60" s="3" t="s">
        <v>19</v>
      </c>
      <c r="I60" s="3">
        <v>149</v>
      </c>
      <c r="J60" s="3" t="s">
        <v>119</v>
      </c>
      <c r="K60" s="3" t="s">
        <v>7</v>
      </c>
      <c r="L60" s="3" t="s">
        <v>74</v>
      </c>
      <c r="M60" s="4">
        <v>119900</v>
      </c>
      <c r="N60" s="5">
        <v>13.9</v>
      </c>
      <c r="O60" s="4">
        <f t="shared" si="0"/>
        <v>16666.099999999999</v>
      </c>
      <c r="P60" s="4">
        <f t="shared" si="1"/>
        <v>103233.9</v>
      </c>
      <c r="Q60" s="3" t="s">
        <v>34</v>
      </c>
      <c r="R60" s="3" t="s">
        <v>68</v>
      </c>
      <c r="S60" s="3" t="s">
        <v>67</v>
      </c>
      <c r="T60" s="3" t="s">
        <v>26</v>
      </c>
    </row>
    <row r="61" spans="1:20" ht="15" customHeight="1" x14ac:dyDescent="0.3">
      <c r="A61" s="3" t="s">
        <v>325</v>
      </c>
      <c r="B61" s="3" t="s">
        <v>326</v>
      </c>
      <c r="C61" s="3" t="s">
        <v>0</v>
      </c>
      <c r="D61" s="3" t="s">
        <v>327</v>
      </c>
      <c r="E61" s="3" t="s">
        <v>328</v>
      </c>
      <c r="F61" s="3" t="s">
        <v>155</v>
      </c>
      <c r="G61" s="3" t="s">
        <v>184</v>
      </c>
      <c r="H61" s="3" t="s">
        <v>18</v>
      </c>
      <c r="I61" s="3">
        <v>125</v>
      </c>
      <c r="J61" s="3" t="s">
        <v>179</v>
      </c>
      <c r="K61" s="3" t="s">
        <v>7</v>
      </c>
      <c r="L61" s="3" t="s">
        <v>90</v>
      </c>
      <c r="M61" s="4">
        <v>79900</v>
      </c>
      <c r="N61" s="5">
        <v>13.8</v>
      </c>
      <c r="O61" s="4">
        <f t="shared" si="0"/>
        <v>11026.2</v>
      </c>
      <c r="P61" s="4">
        <f t="shared" si="1"/>
        <v>68873.8</v>
      </c>
      <c r="Q61" s="3" t="s">
        <v>25</v>
      </c>
      <c r="R61" s="3" t="s">
        <v>67</v>
      </c>
      <c r="S61" s="3" t="s">
        <v>67</v>
      </c>
      <c r="T61" s="3" t="s">
        <v>26</v>
      </c>
    </row>
    <row r="62" spans="1:20" ht="15" customHeight="1" x14ac:dyDescent="0.3">
      <c r="A62" s="3" t="s">
        <v>329</v>
      </c>
      <c r="B62" s="3" t="s">
        <v>330</v>
      </c>
      <c r="C62" s="3" t="s">
        <v>4</v>
      </c>
      <c r="D62" s="3" t="s">
        <v>331</v>
      </c>
      <c r="E62" s="3" t="s">
        <v>332</v>
      </c>
      <c r="F62" s="3" t="s">
        <v>87</v>
      </c>
      <c r="G62" s="3" t="s">
        <v>184</v>
      </c>
      <c r="H62" s="3" t="s">
        <v>18</v>
      </c>
      <c r="I62" s="3">
        <v>125</v>
      </c>
      <c r="J62" s="3" t="s">
        <v>243</v>
      </c>
      <c r="K62" s="3" t="s">
        <v>11</v>
      </c>
      <c r="L62" s="3" t="s">
        <v>74</v>
      </c>
      <c r="M62" s="4">
        <v>79900</v>
      </c>
      <c r="N62" s="5">
        <v>13.1</v>
      </c>
      <c r="O62" s="4">
        <f t="shared" si="0"/>
        <v>10466.9</v>
      </c>
      <c r="P62" s="4">
        <f t="shared" si="1"/>
        <v>69433.100000000006</v>
      </c>
      <c r="Q62" s="3" t="s">
        <v>25</v>
      </c>
      <c r="R62" s="3" t="s">
        <v>67</v>
      </c>
      <c r="S62" s="3" t="s">
        <v>68</v>
      </c>
      <c r="T62" s="3" t="s">
        <v>26</v>
      </c>
    </row>
    <row r="63" spans="1:20" ht="15" customHeight="1" x14ac:dyDescent="0.3">
      <c r="A63" s="3" t="s">
        <v>333</v>
      </c>
      <c r="B63" s="3" t="s">
        <v>334</v>
      </c>
      <c r="C63" s="3" t="s">
        <v>0</v>
      </c>
      <c r="D63" s="3" t="s">
        <v>335</v>
      </c>
      <c r="E63" s="3" t="s">
        <v>336</v>
      </c>
      <c r="F63" s="3" t="s">
        <v>63</v>
      </c>
      <c r="G63" s="3" t="s">
        <v>88</v>
      </c>
      <c r="H63" s="3" t="s">
        <v>18</v>
      </c>
      <c r="I63" s="3">
        <v>125</v>
      </c>
      <c r="J63" s="3" t="s">
        <v>119</v>
      </c>
      <c r="K63" s="3" t="s">
        <v>7</v>
      </c>
      <c r="L63" s="3" t="s">
        <v>103</v>
      </c>
      <c r="M63" s="4">
        <v>94900</v>
      </c>
      <c r="N63" s="5">
        <v>12.2</v>
      </c>
      <c r="O63" s="4">
        <f t="shared" si="0"/>
        <v>11577.8</v>
      </c>
      <c r="P63" s="4">
        <f t="shared" si="1"/>
        <v>83322.2</v>
      </c>
      <c r="Q63" s="3" t="s">
        <v>25</v>
      </c>
      <c r="R63" s="3" t="s">
        <v>67</v>
      </c>
      <c r="S63" s="3" t="s">
        <v>68</v>
      </c>
      <c r="T63" s="3" t="s">
        <v>26</v>
      </c>
    </row>
    <row r="64" spans="1:20" ht="15" customHeight="1" x14ac:dyDescent="0.3">
      <c r="A64" s="3" t="s">
        <v>337</v>
      </c>
      <c r="B64" s="3" t="s">
        <v>253</v>
      </c>
      <c r="C64" s="3" t="s">
        <v>17</v>
      </c>
      <c r="D64" s="3" t="s">
        <v>338</v>
      </c>
      <c r="E64" s="3" t="s">
        <v>339</v>
      </c>
      <c r="F64" s="3" t="s">
        <v>145</v>
      </c>
      <c r="G64" s="3" t="s">
        <v>95</v>
      </c>
      <c r="H64" s="3" t="s">
        <v>22</v>
      </c>
      <c r="I64" s="3">
        <v>0</v>
      </c>
      <c r="J64" s="3" t="s">
        <v>102</v>
      </c>
      <c r="K64" s="3" t="s">
        <v>11</v>
      </c>
      <c r="L64" s="3" t="s">
        <v>90</v>
      </c>
      <c r="M64" s="4">
        <v>139999</v>
      </c>
      <c r="N64" s="5">
        <v>3.4</v>
      </c>
      <c r="O64" s="4">
        <f t="shared" si="0"/>
        <v>4759.9659999999994</v>
      </c>
      <c r="P64" s="4">
        <f t="shared" si="1"/>
        <v>135239.03400000001</v>
      </c>
      <c r="Q64" s="3" t="s">
        <v>40</v>
      </c>
      <c r="R64" s="3" t="s">
        <v>67</v>
      </c>
      <c r="S64" s="3" t="s">
        <v>68</v>
      </c>
      <c r="T64" s="3" t="s">
        <v>26</v>
      </c>
    </row>
    <row r="65" spans="1:20" ht="15" customHeight="1" x14ac:dyDescent="0.3">
      <c r="A65" s="3" t="s">
        <v>340</v>
      </c>
      <c r="B65" s="3" t="s">
        <v>341</v>
      </c>
      <c r="C65" s="3" t="s">
        <v>12</v>
      </c>
      <c r="D65" s="3" t="s">
        <v>342</v>
      </c>
      <c r="E65" s="3" t="s">
        <v>343</v>
      </c>
      <c r="F65" s="3" t="s">
        <v>155</v>
      </c>
      <c r="G65" s="3" t="s">
        <v>156</v>
      </c>
      <c r="H65" s="3" t="s">
        <v>21</v>
      </c>
      <c r="I65" s="3">
        <v>125</v>
      </c>
      <c r="J65" s="3" t="s">
        <v>119</v>
      </c>
      <c r="K65" s="3" t="s">
        <v>11</v>
      </c>
      <c r="L65" s="3" t="s">
        <v>97</v>
      </c>
      <c r="M65" s="4">
        <v>88900</v>
      </c>
      <c r="N65" s="5">
        <v>13.8</v>
      </c>
      <c r="O65" s="4">
        <f t="shared" si="0"/>
        <v>12268.2</v>
      </c>
      <c r="P65" s="4">
        <f t="shared" si="1"/>
        <v>76631.8</v>
      </c>
      <c r="Q65" s="3" t="s">
        <v>31</v>
      </c>
      <c r="R65" s="3" t="s">
        <v>67</v>
      </c>
      <c r="S65" s="3" t="s">
        <v>68</v>
      </c>
      <c r="T65" s="3" t="s">
        <v>26</v>
      </c>
    </row>
    <row r="66" spans="1:20" ht="15" customHeight="1" x14ac:dyDescent="0.3">
      <c r="A66" s="3" t="s">
        <v>344</v>
      </c>
      <c r="B66" s="3" t="s">
        <v>131</v>
      </c>
      <c r="C66" s="3" t="s">
        <v>15</v>
      </c>
      <c r="D66" s="3" t="s">
        <v>345</v>
      </c>
      <c r="E66" s="3" t="s">
        <v>346</v>
      </c>
      <c r="F66" s="3" t="s">
        <v>155</v>
      </c>
      <c r="G66" s="3" t="s">
        <v>316</v>
      </c>
      <c r="H66" s="3" t="s">
        <v>19</v>
      </c>
      <c r="I66" s="3">
        <v>150</v>
      </c>
      <c r="J66" s="3" t="s">
        <v>129</v>
      </c>
      <c r="K66" s="3" t="s">
        <v>3</v>
      </c>
      <c r="L66" s="3" t="s">
        <v>97</v>
      </c>
      <c r="M66" s="4">
        <v>109900</v>
      </c>
      <c r="N66" s="5">
        <v>8.6999999999999993</v>
      </c>
      <c r="O66" s="4">
        <f t="shared" ref="O66:O129" si="2">M66*N66/100</f>
        <v>9561.2999999999993</v>
      </c>
      <c r="P66" s="4">
        <f t="shared" ref="P66:P129" si="3">M66-O66</f>
        <v>100338.7</v>
      </c>
      <c r="Q66" s="3" t="s">
        <v>34</v>
      </c>
      <c r="R66" s="3" t="s">
        <v>67</v>
      </c>
      <c r="S66" s="3" t="s">
        <v>68</v>
      </c>
      <c r="T66" s="3" t="s">
        <v>26</v>
      </c>
    </row>
    <row r="67" spans="1:20" ht="15" customHeight="1" x14ac:dyDescent="0.3">
      <c r="A67" s="3" t="s">
        <v>347</v>
      </c>
      <c r="B67" s="3" t="s">
        <v>121</v>
      </c>
      <c r="C67" s="3" t="s">
        <v>13</v>
      </c>
      <c r="D67" s="3" t="s">
        <v>199</v>
      </c>
      <c r="E67" s="3" t="s">
        <v>348</v>
      </c>
      <c r="F67" s="3" t="s">
        <v>112</v>
      </c>
      <c r="G67" s="3" t="s">
        <v>73</v>
      </c>
      <c r="H67" s="3" t="s">
        <v>21</v>
      </c>
      <c r="I67" s="3">
        <v>110</v>
      </c>
      <c r="J67" s="3" t="s">
        <v>102</v>
      </c>
      <c r="K67" s="3" t="s">
        <v>5</v>
      </c>
      <c r="L67" s="3" t="s">
        <v>90</v>
      </c>
      <c r="M67" s="4">
        <v>79900</v>
      </c>
      <c r="N67" s="5">
        <v>7.3</v>
      </c>
      <c r="O67" s="4">
        <f t="shared" si="2"/>
        <v>5832.7</v>
      </c>
      <c r="P67" s="4">
        <f t="shared" si="3"/>
        <v>74067.3</v>
      </c>
      <c r="Q67" s="3" t="s">
        <v>34</v>
      </c>
      <c r="R67" s="3" t="s">
        <v>68</v>
      </c>
      <c r="S67" s="3" t="s">
        <v>67</v>
      </c>
      <c r="T67" s="3" t="s">
        <v>26</v>
      </c>
    </row>
    <row r="68" spans="1:20" ht="15" customHeight="1" x14ac:dyDescent="0.3">
      <c r="A68" s="3" t="s">
        <v>349</v>
      </c>
      <c r="B68" s="3" t="s">
        <v>92</v>
      </c>
      <c r="C68" s="3" t="s">
        <v>4</v>
      </c>
      <c r="D68" s="3" t="s">
        <v>350</v>
      </c>
      <c r="E68" s="3" t="s">
        <v>351</v>
      </c>
      <c r="F68" s="3" t="s">
        <v>87</v>
      </c>
      <c r="G68" s="3" t="s">
        <v>88</v>
      </c>
      <c r="H68" s="3" t="s">
        <v>18</v>
      </c>
      <c r="I68" s="3">
        <v>125</v>
      </c>
      <c r="J68" s="3" t="s">
        <v>81</v>
      </c>
      <c r="K68" s="3" t="s">
        <v>5</v>
      </c>
      <c r="L68" s="3" t="s">
        <v>82</v>
      </c>
      <c r="M68" s="4">
        <v>94900</v>
      </c>
      <c r="N68" s="5">
        <v>14.8</v>
      </c>
      <c r="O68" s="4">
        <f t="shared" si="2"/>
        <v>14045.2</v>
      </c>
      <c r="P68" s="4">
        <f t="shared" si="3"/>
        <v>80854.8</v>
      </c>
      <c r="Q68" s="3" t="s">
        <v>36</v>
      </c>
      <c r="R68" s="3" t="s">
        <v>68</v>
      </c>
      <c r="S68" s="3" t="s">
        <v>68</v>
      </c>
      <c r="T68" s="3" t="s">
        <v>26</v>
      </c>
    </row>
    <row r="69" spans="1:20" ht="15" customHeight="1" x14ac:dyDescent="0.3">
      <c r="A69" s="3" t="s">
        <v>352</v>
      </c>
      <c r="B69" s="3" t="s">
        <v>304</v>
      </c>
      <c r="C69" s="3" t="s">
        <v>2</v>
      </c>
      <c r="D69" s="3" t="s">
        <v>353</v>
      </c>
      <c r="E69" s="3" t="s">
        <v>354</v>
      </c>
      <c r="F69" s="3" t="s">
        <v>112</v>
      </c>
      <c r="G69" s="3" t="s">
        <v>73</v>
      </c>
      <c r="H69" s="3" t="s">
        <v>21</v>
      </c>
      <c r="I69" s="3">
        <v>110</v>
      </c>
      <c r="J69" s="3" t="s">
        <v>179</v>
      </c>
      <c r="K69" s="3" t="s">
        <v>7</v>
      </c>
      <c r="L69" s="3" t="s">
        <v>90</v>
      </c>
      <c r="M69" s="4">
        <v>79900</v>
      </c>
      <c r="N69" s="5">
        <v>10.4</v>
      </c>
      <c r="O69" s="4">
        <f t="shared" si="2"/>
        <v>8309.6</v>
      </c>
      <c r="P69" s="4">
        <f t="shared" si="3"/>
        <v>71590.399999999994</v>
      </c>
      <c r="Q69" s="3" t="s">
        <v>40</v>
      </c>
      <c r="R69" s="3" t="s">
        <v>67</v>
      </c>
      <c r="S69" s="3" t="s">
        <v>67</v>
      </c>
      <c r="T69" s="3" t="s">
        <v>32</v>
      </c>
    </row>
    <row r="70" spans="1:20" ht="15" customHeight="1" x14ac:dyDescent="0.3">
      <c r="A70" s="3" t="s">
        <v>355</v>
      </c>
      <c r="B70" s="3" t="s">
        <v>60</v>
      </c>
      <c r="C70" s="3" t="s">
        <v>16</v>
      </c>
      <c r="D70" s="3" t="s">
        <v>356</v>
      </c>
      <c r="E70" s="3" t="s">
        <v>357</v>
      </c>
      <c r="F70" s="3" t="s">
        <v>174</v>
      </c>
      <c r="G70" s="3" t="s">
        <v>64</v>
      </c>
      <c r="H70" s="3" t="s">
        <v>19</v>
      </c>
      <c r="I70" s="3">
        <v>200</v>
      </c>
      <c r="J70" s="3" t="s">
        <v>243</v>
      </c>
      <c r="K70" s="3" t="s">
        <v>11</v>
      </c>
      <c r="L70" s="3" t="s">
        <v>206</v>
      </c>
      <c r="M70" s="4">
        <v>199900</v>
      </c>
      <c r="N70" s="5">
        <v>5.4</v>
      </c>
      <c r="O70" s="4">
        <f t="shared" si="2"/>
        <v>10794.6</v>
      </c>
      <c r="P70" s="4">
        <f t="shared" si="3"/>
        <v>189105.4</v>
      </c>
      <c r="Q70" s="3" t="s">
        <v>28</v>
      </c>
      <c r="R70" s="3" t="s">
        <v>67</v>
      </c>
      <c r="S70" s="3" t="s">
        <v>68</v>
      </c>
      <c r="T70" s="3" t="s">
        <v>26</v>
      </c>
    </row>
    <row r="71" spans="1:20" ht="15" customHeight="1" x14ac:dyDescent="0.3">
      <c r="A71" s="3" t="s">
        <v>358</v>
      </c>
      <c r="B71" s="3" t="s">
        <v>76</v>
      </c>
      <c r="C71" s="3" t="s">
        <v>4</v>
      </c>
      <c r="D71" s="3" t="s">
        <v>359</v>
      </c>
      <c r="E71" s="3" t="s">
        <v>360</v>
      </c>
      <c r="F71" s="3" t="s">
        <v>124</v>
      </c>
      <c r="G71" s="3" t="s">
        <v>156</v>
      </c>
      <c r="H71" s="3" t="s">
        <v>21</v>
      </c>
      <c r="I71" s="3">
        <v>125</v>
      </c>
      <c r="J71" s="3" t="s">
        <v>119</v>
      </c>
      <c r="K71" s="3" t="s">
        <v>9</v>
      </c>
      <c r="L71" s="3" t="s">
        <v>66</v>
      </c>
      <c r="M71" s="4">
        <v>88900</v>
      </c>
      <c r="N71" s="5">
        <v>10.8</v>
      </c>
      <c r="O71" s="4">
        <f t="shared" si="2"/>
        <v>9601.2000000000007</v>
      </c>
      <c r="P71" s="4">
        <f t="shared" si="3"/>
        <v>79298.8</v>
      </c>
      <c r="Q71" s="3" t="s">
        <v>25</v>
      </c>
      <c r="R71" s="3" t="s">
        <v>68</v>
      </c>
      <c r="S71" s="3" t="s">
        <v>67</v>
      </c>
      <c r="T71" s="3" t="s">
        <v>29</v>
      </c>
    </row>
    <row r="72" spans="1:20" ht="15" customHeight="1" x14ac:dyDescent="0.3">
      <c r="A72" s="3" t="s">
        <v>361</v>
      </c>
      <c r="B72" s="3" t="s">
        <v>362</v>
      </c>
      <c r="C72" s="3" t="s">
        <v>2</v>
      </c>
      <c r="D72" s="3" t="s">
        <v>363</v>
      </c>
      <c r="E72" s="3" t="s">
        <v>364</v>
      </c>
      <c r="F72" s="3" t="s">
        <v>117</v>
      </c>
      <c r="G72" s="3" t="s">
        <v>184</v>
      </c>
      <c r="H72" s="3" t="s">
        <v>18</v>
      </c>
      <c r="I72" s="3">
        <v>125</v>
      </c>
      <c r="J72" s="3" t="s">
        <v>243</v>
      </c>
      <c r="K72" s="3" t="s">
        <v>3</v>
      </c>
      <c r="L72" s="3" t="s">
        <v>97</v>
      </c>
      <c r="M72" s="4">
        <v>79900</v>
      </c>
      <c r="N72" s="5">
        <v>3.6</v>
      </c>
      <c r="O72" s="4">
        <f t="shared" si="2"/>
        <v>2876.4</v>
      </c>
      <c r="P72" s="4">
        <f t="shared" si="3"/>
        <v>77023.600000000006</v>
      </c>
      <c r="Q72" s="3" t="s">
        <v>36</v>
      </c>
      <c r="R72" s="3" t="s">
        <v>67</v>
      </c>
      <c r="S72" s="3" t="s">
        <v>68</v>
      </c>
      <c r="T72" s="3" t="s">
        <v>26</v>
      </c>
    </row>
    <row r="73" spans="1:20" ht="15" customHeight="1" x14ac:dyDescent="0.3">
      <c r="A73" s="3" t="s">
        <v>365</v>
      </c>
      <c r="B73" s="3" t="s">
        <v>366</v>
      </c>
      <c r="C73" s="3" t="s">
        <v>4</v>
      </c>
      <c r="D73" s="3" t="s">
        <v>367</v>
      </c>
      <c r="E73" s="3" t="s">
        <v>368</v>
      </c>
      <c r="F73" s="3" t="s">
        <v>155</v>
      </c>
      <c r="G73" s="3" t="s">
        <v>135</v>
      </c>
      <c r="H73" s="3" t="s">
        <v>19</v>
      </c>
      <c r="I73" s="3">
        <v>160</v>
      </c>
      <c r="J73" s="3" t="s">
        <v>65</v>
      </c>
      <c r="K73" s="3" t="s">
        <v>11</v>
      </c>
      <c r="L73" s="3" t="s">
        <v>103</v>
      </c>
      <c r="M73" s="4">
        <v>124900</v>
      </c>
      <c r="N73" s="5">
        <v>5.6</v>
      </c>
      <c r="O73" s="4">
        <f t="shared" si="2"/>
        <v>6994.4</v>
      </c>
      <c r="P73" s="4">
        <f t="shared" si="3"/>
        <v>117905.60000000001</v>
      </c>
      <c r="Q73" s="3" t="s">
        <v>25</v>
      </c>
      <c r="R73" s="3" t="s">
        <v>67</v>
      </c>
      <c r="S73" s="3" t="s">
        <v>68</v>
      </c>
      <c r="T73" s="3" t="s">
        <v>26</v>
      </c>
    </row>
    <row r="74" spans="1:20" ht="15" customHeight="1" x14ac:dyDescent="0.3">
      <c r="A74" s="3" t="s">
        <v>369</v>
      </c>
      <c r="B74" s="3" t="s">
        <v>186</v>
      </c>
      <c r="C74" s="3" t="s">
        <v>6</v>
      </c>
      <c r="D74" s="3" t="s">
        <v>370</v>
      </c>
      <c r="E74" s="3" t="s">
        <v>371</v>
      </c>
      <c r="F74" s="3" t="s">
        <v>145</v>
      </c>
      <c r="G74" s="3" t="s">
        <v>189</v>
      </c>
      <c r="H74" s="3" t="s">
        <v>18</v>
      </c>
      <c r="I74" s="3">
        <v>100</v>
      </c>
      <c r="J74" s="3" t="s">
        <v>102</v>
      </c>
      <c r="K74" s="3" t="s">
        <v>7</v>
      </c>
      <c r="L74" s="3" t="s">
        <v>103</v>
      </c>
      <c r="M74" s="4">
        <v>72900</v>
      </c>
      <c r="N74" s="5">
        <v>5.2</v>
      </c>
      <c r="O74" s="4">
        <f t="shared" si="2"/>
        <v>3790.8</v>
      </c>
      <c r="P74" s="4">
        <f t="shared" si="3"/>
        <v>69109.2</v>
      </c>
      <c r="Q74" s="3" t="s">
        <v>25</v>
      </c>
      <c r="R74" s="3" t="s">
        <v>67</v>
      </c>
      <c r="S74" s="3" t="s">
        <v>68</v>
      </c>
      <c r="T74" s="3" t="s">
        <v>26</v>
      </c>
    </row>
    <row r="75" spans="1:20" ht="15" customHeight="1" x14ac:dyDescent="0.3">
      <c r="A75" s="3" t="s">
        <v>372</v>
      </c>
      <c r="B75" s="3" t="s">
        <v>249</v>
      </c>
      <c r="C75" s="3" t="s">
        <v>13</v>
      </c>
      <c r="D75" s="3" t="s">
        <v>373</v>
      </c>
      <c r="E75" s="3" t="s">
        <v>374</v>
      </c>
      <c r="F75" s="3" t="s">
        <v>124</v>
      </c>
      <c r="G75" s="3" t="s">
        <v>88</v>
      </c>
      <c r="H75" s="3" t="s">
        <v>18</v>
      </c>
      <c r="I75" s="3">
        <v>125</v>
      </c>
      <c r="J75" s="3" t="s">
        <v>179</v>
      </c>
      <c r="K75" s="3" t="s">
        <v>11</v>
      </c>
      <c r="L75" s="3" t="s">
        <v>97</v>
      </c>
      <c r="M75" s="4">
        <v>94900</v>
      </c>
      <c r="N75" s="5">
        <v>10.8</v>
      </c>
      <c r="O75" s="4">
        <f t="shared" si="2"/>
        <v>10249.200000000001</v>
      </c>
      <c r="P75" s="4">
        <f t="shared" si="3"/>
        <v>84650.8</v>
      </c>
      <c r="Q75" s="3" t="s">
        <v>34</v>
      </c>
      <c r="R75" s="3" t="s">
        <v>67</v>
      </c>
      <c r="S75" s="3" t="s">
        <v>67</v>
      </c>
      <c r="T75" s="3" t="s">
        <v>26</v>
      </c>
    </row>
    <row r="76" spans="1:20" ht="15" customHeight="1" x14ac:dyDescent="0.3">
      <c r="A76" s="3" t="s">
        <v>375</v>
      </c>
      <c r="B76" s="3" t="s">
        <v>376</v>
      </c>
      <c r="C76" s="3" t="s">
        <v>8</v>
      </c>
      <c r="D76" s="3" t="s">
        <v>377</v>
      </c>
      <c r="E76" s="3" t="s">
        <v>378</v>
      </c>
      <c r="F76" s="3" t="s">
        <v>117</v>
      </c>
      <c r="G76" s="3" t="s">
        <v>201</v>
      </c>
      <c r="H76" s="3" t="s">
        <v>19</v>
      </c>
      <c r="I76" s="3">
        <v>160</v>
      </c>
      <c r="J76" s="3" t="s">
        <v>89</v>
      </c>
      <c r="K76" s="3" t="s">
        <v>1</v>
      </c>
      <c r="L76" s="3" t="s">
        <v>103</v>
      </c>
      <c r="M76" s="4">
        <v>129900</v>
      </c>
      <c r="N76" s="5">
        <v>10.7</v>
      </c>
      <c r="O76" s="4">
        <f t="shared" si="2"/>
        <v>13899.3</v>
      </c>
      <c r="P76" s="4">
        <f t="shared" si="3"/>
        <v>116000.7</v>
      </c>
      <c r="Q76" s="3" t="s">
        <v>28</v>
      </c>
      <c r="R76" s="3" t="s">
        <v>67</v>
      </c>
      <c r="S76" s="3" t="s">
        <v>67</v>
      </c>
      <c r="T76" s="3" t="s">
        <v>29</v>
      </c>
    </row>
    <row r="77" spans="1:20" ht="15" customHeight="1" x14ac:dyDescent="0.3">
      <c r="A77" s="3" t="s">
        <v>379</v>
      </c>
      <c r="B77" s="3" t="s">
        <v>380</v>
      </c>
      <c r="C77" s="3" t="s">
        <v>0</v>
      </c>
      <c r="D77" s="3" t="s">
        <v>381</v>
      </c>
      <c r="E77" s="3" t="s">
        <v>382</v>
      </c>
      <c r="F77" s="3" t="s">
        <v>124</v>
      </c>
      <c r="G77" s="3" t="s">
        <v>64</v>
      </c>
      <c r="H77" s="3" t="s">
        <v>19</v>
      </c>
      <c r="I77" s="3">
        <v>200</v>
      </c>
      <c r="J77" s="3" t="s">
        <v>96</v>
      </c>
      <c r="K77" s="3" t="s">
        <v>3</v>
      </c>
      <c r="L77" s="3" t="s">
        <v>82</v>
      </c>
      <c r="M77" s="4">
        <v>199900</v>
      </c>
      <c r="N77" s="5">
        <v>3.2</v>
      </c>
      <c r="O77" s="4">
        <f t="shared" si="2"/>
        <v>6396.8</v>
      </c>
      <c r="P77" s="4">
        <f t="shared" si="3"/>
        <v>193503.2</v>
      </c>
      <c r="Q77" s="3" t="s">
        <v>25</v>
      </c>
      <c r="R77" s="3" t="s">
        <v>67</v>
      </c>
      <c r="S77" s="3" t="s">
        <v>67</v>
      </c>
      <c r="T77" s="3" t="s">
        <v>29</v>
      </c>
    </row>
    <row r="78" spans="1:20" ht="15" customHeight="1" x14ac:dyDescent="0.3">
      <c r="A78" s="3" t="s">
        <v>383</v>
      </c>
      <c r="B78" s="3" t="s">
        <v>384</v>
      </c>
      <c r="C78" s="3" t="s">
        <v>15</v>
      </c>
      <c r="D78" s="3" t="s">
        <v>385</v>
      </c>
      <c r="E78" s="3" t="s">
        <v>386</v>
      </c>
      <c r="F78" s="3" t="s">
        <v>174</v>
      </c>
      <c r="G78" s="3" t="s">
        <v>324</v>
      </c>
      <c r="H78" s="3" t="s">
        <v>19</v>
      </c>
      <c r="I78" s="3">
        <v>149</v>
      </c>
      <c r="J78" s="3" t="s">
        <v>81</v>
      </c>
      <c r="K78" s="3" t="s">
        <v>3</v>
      </c>
      <c r="L78" s="3" t="s">
        <v>97</v>
      </c>
      <c r="M78" s="4">
        <v>119900</v>
      </c>
      <c r="N78" s="5">
        <v>4.3</v>
      </c>
      <c r="O78" s="4">
        <f t="shared" si="2"/>
        <v>5155.7</v>
      </c>
      <c r="P78" s="4">
        <f t="shared" si="3"/>
        <v>114744.3</v>
      </c>
      <c r="Q78" s="3" t="s">
        <v>28</v>
      </c>
      <c r="R78" s="3" t="s">
        <v>67</v>
      </c>
      <c r="S78" s="3" t="s">
        <v>68</v>
      </c>
      <c r="T78" s="3" t="s">
        <v>26</v>
      </c>
    </row>
    <row r="79" spans="1:20" ht="15" customHeight="1" x14ac:dyDescent="0.3">
      <c r="A79" s="3" t="s">
        <v>387</v>
      </c>
      <c r="B79" s="3" t="s">
        <v>272</v>
      </c>
      <c r="C79" s="3" t="s">
        <v>0</v>
      </c>
      <c r="D79" s="3" t="s">
        <v>388</v>
      </c>
      <c r="E79" s="3" t="s">
        <v>389</v>
      </c>
      <c r="F79" s="3" t="s">
        <v>124</v>
      </c>
      <c r="G79" s="3" t="s">
        <v>316</v>
      </c>
      <c r="H79" s="3" t="s">
        <v>19</v>
      </c>
      <c r="I79" s="3">
        <v>150</v>
      </c>
      <c r="J79" s="3" t="s">
        <v>65</v>
      </c>
      <c r="K79" s="3" t="s">
        <v>11</v>
      </c>
      <c r="L79" s="3" t="s">
        <v>82</v>
      </c>
      <c r="M79" s="4">
        <v>109900</v>
      </c>
      <c r="N79" s="5">
        <v>10.7</v>
      </c>
      <c r="O79" s="4">
        <f t="shared" si="2"/>
        <v>11759.3</v>
      </c>
      <c r="P79" s="4">
        <f t="shared" si="3"/>
        <v>98140.7</v>
      </c>
      <c r="Q79" s="3" t="s">
        <v>36</v>
      </c>
      <c r="R79" s="3" t="s">
        <v>67</v>
      </c>
      <c r="S79" s="3" t="s">
        <v>67</v>
      </c>
      <c r="T79" s="3" t="s">
        <v>29</v>
      </c>
    </row>
    <row r="80" spans="1:20" ht="15" customHeight="1" x14ac:dyDescent="0.3">
      <c r="A80" s="3" t="s">
        <v>390</v>
      </c>
      <c r="B80" s="3" t="s">
        <v>391</v>
      </c>
      <c r="C80" s="3" t="s">
        <v>6</v>
      </c>
      <c r="D80" s="3" t="s">
        <v>392</v>
      </c>
      <c r="E80" s="3" t="s">
        <v>393</v>
      </c>
      <c r="F80" s="3" t="s">
        <v>124</v>
      </c>
      <c r="G80" s="3" t="s">
        <v>146</v>
      </c>
      <c r="H80" s="3" t="s">
        <v>18</v>
      </c>
      <c r="I80" s="3">
        <v>110</v>
      </c>
      <c r="J80" s="3" t="s">
        <v>179</v>
      </c>
      <c r="K80" s="3" t="s">
        <v>7</v>
      </c>
      <c r="L80" s="3" t="s">
        <v>103</v>
      </c>
      <c r="M80" s="4">
        <v>74900</v>
      </c>
      <c r="N80" s="5">
        <v>4.5</v>
      </c>
      <c r="O80" s="4">
        <f t="shared" si="2"/>
        <v>3370.5</v>
      </c>
      <c r="P80" s="4">
        <f t="shared" si="3"/>
        <v>71529.5</v>
      </c>
      <c r="Q80" s="3" t="s">
        <v>25</v>
      </c>
      <c r="R80" s="3" t="s">
        <v>67</v>
      </c>
      <c r="S80" s="3" t="s">
        <v>67</v>
      </c>
      <c r="T80" s="3" t="s">
        <v>26</v>
      </c>
    </row>
    <row r="81" spans="1:20" ht="15" customHeight="1" x14ac:dyDescent="0.3">
      <c r="A81" s="3" t="s">
        <v>394</v>
      </c>
      <c r="B81" s="3" t="s">
        <v>395</v>
      </c>
      <c r="C81" s="3" t="s">
        <v>14</v>
      </c>
      <c r="D81" s="3" t="s">
        <v>396</v>
      </c>
      <c r="E81" s="3" t="s">
        <v>397</v>
      </c>
      <c r="F81" s="3" t="s">
        <v>87</v>
      </c>
      <c r="G81" s="3" t="s">
        <v>88</v>
      </c>
      <c r="H81" s="3" t="s">
        <v>18</v>
      </c>
      <c r="I81" s="3">
        <v>125</v>
      </c>
      <c r="J81" s="3" t="s">
        <v>243</v>
      </c>
      <c r="K81" s="3" t="s">
        <v>11</v>
      </c>
      <c r="L81" s="3" t="s">
        <v>74</v>
      </c>
      <c r="M81" s="4">
        <v>94900</v>
      </c>
      <c r="N81" s="5">
        <v>6.7</v>
      </c>
      <c r="O81" s="4">
        <f t="shared" si="2"/>
        <v>6358.3</v>
      </c>
      <c r="P81" s="4">
        <f t="shared" si="3"/>
        <v>88541.7</v>
      </c>
      <c r="Q81" s="3" t="s">
        <v>38</v>
      </c>
      <c r="R81" s="3" t="s">
        <v>67</v>
      </c>
      <c r="S81" s="3" t="s">
        <v>68</v>
      </c>
      <c r="T81" s="3" t="s">
        <v>29</v>
      </c>
    </row>
    <row r="82" spans="1:20" ht="15" customHeight="1" x14ac:dyDescent="0.3">
      <c r="A82" s="3" t="s">
        <v>398</v>
      </c>
      <c r="B82" s="3" t="s">
        <v>176</v>
      </c>
      <c r="C82" s="3" t="s">
        <v>10</v>
      </c>
      <c r="D82" s="3" t="s">
        <v>399</v>
      </c>
      <c r="E82" s="3" t="s">
        <v>400</v>
      </c>
      <c r="F82" s="3" t="s">
        <v>155</v>
      </c>
      <c r="G82" s="3" t="s">
        <v>169</v>
      </c>
      <c r="H82" s="3" t="s">
        <v>18</v>
      </c>
      <c r="I82" s="3">
        <v>162</v>
      </c>
      <c r="J82" s="3" t="s">
        <v>96</v>
      </c>
      <c r="K82" s="3" t="s">
        <v>3</v>
      </c>
      <c r="L82" s="3" t="s">
        <v>90</v>
      </c>
      <c r="M82" s="4">
        <v>124900</v>
      </c>
      <c r="N82" s="5">
        <v>12.2</v>
      </c>
      <c r="O82" s="4">
        <f t="shared" si="2"/>
        <v>15237.8</v>
      </c>
      <c r="P82" s="4">
        <f t="shared" si="3"/>
        <v>109662.2</v>
      </c>
      <c r="Q82" s="3" t="s">
        <v>34</v>
      </c>
      <c r="R82" s="3" t="s">
        <v>67</v>
      </c>
      <c r="S82" s="3" t="s">
        <v>68</v>
      </c>
      <c r="T82" s="3" t="s">
        <v>29</v>
      </c>
    </row>
    <row r="83" spans="1:20" ht="15" customHeight="1" x14ac:dyDescent="0.3">
      <c r="A83" s="3" t="s">
        <v>401</v>
      </c>
      <c r="B83" s="3" t="s">
        <v>402</v>
      </c>
      <c r="C83" s="3" t="s">
        <v>2</v>
      </c>
      <c r="D83" s="3" t="s">
        <v>403</v>
      </c>
      <c r="E83" s="3" t="s">
        <v>404</v>
      </c>
      <c r="F83" s="3" t="s">
        <v>63</v>
      </c>
      <c r="G83" s="3" t="s">
        <v>222</v>
      </c>
      <c r="H83" s="3" t="s">
        <v>19</v>
      </c>
      <c r="I83" s="3">
        <v>155</v>
      </c>
      <c r="J83" s="3" t="s">
        <v>81</v>
      </c>
      <c r="K83" s="3" t="s">
        <v>9</v>
      </c>
      <c r="L83" s="3" t="s">
        <v>136</v>
      </c>
      <c r="M83" s="4">
        <v>167900</v>
      </c>
      <c r="N83" s="5">
        <v>3.5</v>
      </c>
      <c r="O83" s="4">
        <f t="shared" si="2"/>
        <v>5876.5</v>
      </c>
      <c r="P83" s="4">
        <f t="shared" si="3"/>
        <v>162023.5</v>
      </c>
      <c r="Q83" s="3" t="s">
        <v>31</v>
      </c>
      <c r="R83" s="3" t="s">
        <v>67</v>
      </c>
      <c r="S83" s="3" t="s">
        <v>68</v>
      </c>
      <c r="T83" s="3" t="s">
        <v>26</v>
      </c>
    </row>
    <row r="84" spans="1:20" ht="15" customHeight="1" x14ac:dyDescent="0.3">
      <c r="A84" s="3" t="s">
        <v>405</v>
      </c>
      <c r="B84" s="3" t="s">
        <v>406</v>
      </c>
      <c r="C84" s="3" t="s">
        <v>17</v>
      </c>
      <c r="D84" s="3" t="s">
        <v>407</v>
      </c>
      <c r="E84" s="3" t="s">
        <v>408</v>
      </c>
      <c r="F84" s="3" t="s">
        <v>124</v>
      </c>
      <c r="G84" s="3" t="s">
        <v>211</v>
      </c>
      <c r="H84" s="3" t="s">
        <v>20</v>
      </c>
      <c r="I84" s="3">
        <v>350</v>
      </c>
      <c r="J84" s="3" t="s">
        <v>129</v>
      </c>
      <c r="K84" s="3" t="s">
        <v>1</v>
      </c>
      <c r="L84" s="3" t="s">
        <v>97</v>
      </c>
      <c r="M84" s="4">
        <v>199900</v>
      </c>
      <c r="N84" s="5">
        <v>5.3</v>
      </c>
      <c r="O84" s="4">
        <f t="shared" si="2"/>
        <v>10594.7</v>
      </c>
      <c r="P84" s="4">
        <f t="shared" si="3"/>
        <v>189305.3</v>
      </c>
      <c r="Q84" s="3" t="s">
        <v>38</v>
      </c>
      <c r="R84" s="3" t="s">
        <v>67</v>
      </c>
      <c r="S84" s="3" t="s">
        <v>68</v>
      </c>
      <c r="T84" s="3" t="s">
        <v>26</v>
      </c>
    </row>
    <row r="85" spans="1:20" ht="15" customHeight="1" x14ac:dyDescent="0.3">
      <c r="A85" s="3" t="s">
        <v>409</v>
      </c>
      <c r="B85" s="3" t="s">
        <v>410</v>
      </c>
      <c r="C85" s="3" t="s">
        <v>17</v>
      </c>
      <c r="D85" s="3" t="s">
        <v>411</v>
      </c>
      <c r="E85" s="3" t="s">
        <v>412</v>
      </c>
      <c r="F85" s="3" t="s">
        <v>112</v>
      </c>
      <c r="G85" s="3" t="s">
        <v>95</v>
      </c>
      <c r="H85" s="3" t="s">
        <v>22</v>
      </c>
      <c r="I85" s="3">
        <v>0</v>
      </c>
      <c r="J85" s="3" t="s">
        <v>65</v>
      </c>
      <c r="K85" s="3" t="s">
        <v>5</v>
      </c>
      <c r="L85" s="3" t="s">
        <v>90</v>
      </c>
      <c r="M85" s="4">
        <v>139999</v>
      </c>
      <c r="N85" s="5">
        <v>4.7</v>
      </c>
      <c r="O85" s="4">
        <f t="shared" si="2"/>
        <v>6579.9530000000004</v>
      </c>
      <c r="P85" s="4">
        <f t="shared" si="3"/>
        <v>133419.04699999999</v>
      </c>
      <c r="Q85" s="3" t="s">
        <v>31</v>
      </c>
      <c r="R85" s="3" t="s">
        <v>67</v>
      </c>
      <c r="S85" s="3" t="s">
        <v>68</v>
      </c>
      <c r="T85" s="3" t="s">
        <v>32</v>
      </c>
    </row>
    <row r="86" spans="1:20" ht="15" customHeight="1" x14ac:dyDescent="0.3">
      <c r="A86" s="3" t="s">
        <v>413</v>
      </c>
      <c r="B86" s="3" t="s">
        <v>414</v>
      </c>
      <c r="C86" s="3" t="s">
        <v>15</v>
      </c>
      <c r="D86" s="3" t="s">
        <v>415</v>
      </c>
      <c r="E86" s="3" t="s">
        <v>416</v>
      </c>
      <c r="F86" s="3" t="s">
        <v>145</v>
      </c>
      <c r="G86" s="3" t="s">
        <v>324</v>
      </c>
      <c r="H86" s="3" t="s">
        <v>19</v>
      </c>
      <c r="I86" s="3">
        <v>149</v>
      </c>
      <c r="J86" s="3" t="s">
        <v>89</v>
      </c>
      <c r="K86" s="3" t="s">
        <v>3</v>
      </c>
      <c r="L86" s="3" t="s">
        <v>206</v>
      </c>
      <c r="M86" s="4">
        <v>119900</v>
      </c>
      <c r="N86" s="5">
        <v>11.2</v>
      </c>
      <c r="O86" s="4">
        <f t="shared" si="2"/>
        <v>13428.8</v>
      </c>
      <c r="P86" s="4">
        <f t="shared" si="3"/>
        <v>106471.2</v>
      </c>
      <c r="Q86" s="3" t="s">
        <v>25</v>
      </c>
      <c r="R86" s="3" t="s">
        <v>67</v>
      </c>
      <c r="S86" s="3" t="s">
        <v>68</v>
      </c>
      <c r="T86" s="3" t="s">
        <v>26</v>
      </c>
    </row>
    <row r="87" spans="1:20" ht="15" customHeight="1" x14ac:dyDescent="0.3">
      <c r="A87" s="3" t="s">
        <v>417</v>
      </c>
      <c r="B87" s="3" t="s">
        <v>395</v>
      </c>
      <c r="C87" s="3" t="s">
        <v>14</v>
      </c>
      <c r="D87" s="3" t="s">
        <v>418</v>
      </c>
      <c r="E87" s="3" t="s">
        <v>419</v>
      </c>
      <c r="F87" s="3" t="s">
        <v>79</v>
      </c>
      <c r="G87" s="3" t="s">
        <v>135</v>
      </c>
      <c r="H87" s="3" t="s">
        <v>19</v>
      </c>
      <c r="I87" s="3">
        <v>160</v>
      </c>
      <c r="J87" s="3" t="s">
        <v>243</v>
      </c>
      <c r="K87" s="3" t="s">
        <v>9</v>
      </c>
      <c r="L87" s="3" t="s">
        <v>74</v>
      </c>
      <c r="M87" s="4">
        <v>124900</v>
      </c>
      <c r="N87" s="5">
        <v>11.9</v>
      </c>
      <c r="O87" s="4">
        <f t="shared" si="2"/>
        <v>14863.1</v>
      </c>
      <c r="P87" s="4">
        <f t="shared" si="3"/>
        <v>110036.9</v>
      </c>
      <c r="Q87" s="3" t="s">
        <v>31</v>
      </c>
      <c r="R87" s="3" t="s">
        <v>67</v>
      </c>
      <c r="S87" s="3" t="s">
        <v>68</v>
      </c>
      <c r="T87" s="3" t="s">
        <v>29</v>
      </c>
    </row>
    <row r="88" spans="1:20" ht="15" customHeight="1" x14ac:dyDescent="0.3">
      <c r="A88" s="3" t="s">
        <v>420</v>
      </c>
      <c r="B88" s="3" t="s">
        <v>421</v>
      </c>
      <c r="C88" s="3" t="s">
        <v>15</v>
      </c>
      <c r="D88" s="3" t="s">
        <v>422</v>
      </c>
      <c r="E88" s="3" t="s">
        <v>423</v>
      </c>
      <c r="F88" s="3" t="s">
        <v>87</v>
      </c>
      <c r="G88" s="3" t="s">
        <v>73</v>
      </c>
      <c r="H88" s="3" t="s">
        <v>21</v>
      </c>
      <c r="I88" s="3">
        <v>110</v>
      </c>
      <c r="J88" s="3" t="s">
        <v>179</v>
      </c>
      <c r="K88" s="3" t="s">
        <v>9</v>
      </c>
      <c r="L88" s="3" t="s">
        <v>136</v>
      </c>
      <c r="M88" s="4">
        <v>79900</v>
      </c>
      <c r="N88" s="5">
        <v>6.6</v>
      </c>
      <c r="O88" s="4">
        <f t="shared" si="2"/>
        <v>5273.4</v>
      </c>
      <c r="P88" s="4">
        <f t="shared" si="3"/>
        <v>74626.600000000006</v>
      </c>
      <c r="Q88" s="3" t="s">
        <v>40</v>
      </c>
      <c r="R88" s="3" t="s">
        <v>67</v>
      </c>
      <c r="S88" s="3" t="s">
        <v>68</v>
      </c>
      <c r="T88" s="3" t="s">
        <v>26</v>
      </c>
    </row>
    <row r="89" spans="1:20" ht="15" customHeight="1" x14ac:dyDescent="0.3">
      <c r="A89" s="3" t="s">
        <v>424</v>
      </c>
      <c r="B89" s="3" t="s">
        <v>384</v>
      </c>
      <c r="C89" s="3" t="s">
        <v>15</v>
      </c>
      <c r="D89" s="3" t="s">
        <v>425</v>
      </c>
      <c r="E89" s="3" t="s">
        <v>426</v>
      </c>
      <c r="F89" s="3" t="s">
        <v>174</v>
      </c>
      <c r="G89" s="3" t="s">
        <v>201</v>
      </c>
      <c r="H89" s="3" t="s">
        <v>19</v>
      </c>
      <c r="I89" s="3">
        <v>160</v>
      </c>
      <c r="J89" s="3" t="s">
        <v>89</v>
      </c>
      <c r="K89" s="3" t="s">
        <v>9</v>
      </c>
      <c r="L89" s="3" t="s">
        <v>103</v>
      </c>
      <c r="M89" s="4">
        <v>129900</v>
      </c>
      <c r="N89" s="5">
        <v>13.7</v>
      </c>
      <c r="O89" s="4">
        <f t="shared" si="2"/>
        <v>17796.3</v>
      </c>
      <c r="P89" s="4">
        <f t="shared" si="3"/>
        <v>112103.7</v>
      </c>
      <c r="Q89" s="3" t="s">
        <v>36</v>
      </c>
      <c r="R89" s="3" t="s">
        <v>67</v>
      </c>
      <c r="S89" s="3" t="s">
        <v>68</v>
      </c>
      <c r="T89" s="3" t="s">
        <v>26</v>
      </c>
    </row>
    <row r="90" spans="1:20" ht="15" customHeight="1" x14ac:dyDescent="0.3">
      <c r="A90" s="3" t="s">
        <v>427</v>
      </c>
      <c r="B90" s="3" t="s">
        <v>158</v>
      </c>
      <c r="C90" s="3" t="s">
        <v>16</v>
      </c>
      <c r="D90" s="3" t="s">
        <v>428</v>
      </c>
      <c r="E90" s="3" t="s">
        <v>429</v>
      </c>
      <c r="F90" s="3" t="s">
        <v>117</v>
      </c>
      <c r="G90" s="3" t="s">
        <v>80</v>
      </c>
      <c r="H90" s="3" t="s">
        <v>22</v>
      </c>
      <c r="I90" s="3">
        <v>0</v>
      </c>
      <c r="J90" s="3" t="s">
        <v>164</v>
      </c>
      <c r="K90" s="3" t="s">
        <v>9</v>
      </c>
      <c r="L90" s="3" t="s">
        <v>103</v>
      </c>
      <c r="M90" s="4">
        <v>145000</v>
      </c>
      <c r="N90" s="5">
        <v>9.4</v>
      </c>
      <c r="O90" s="4">
        <f t="shared" si="2"/>
        <v>13630</v>
      </c>
      <c r="P90" s="4">
        <f t="shared" si="3"/>
        <v>131370</v>
      </c>
      <c r="Q90" s="3" t="s">
        <v>36</v>
      </c>
      <c r="R90" s="3" t="s">
        <v>67</v>
      </c>
      <c r="S90" s="3" t="s">
        <v>67</v>
      </c>
      <c r="T90" s="3" t="s">
        <v>26</v>
      </c>
    </row>
    <row r="91" spans="1:20" ht="15" customHeight="1" x14ac:dyDescent="0.3">
      <c r="A91" s="3" t="s">
        <v>430</v>
      </c>
      <c r="B91" s="3" t="s">
        <v>92</v>
      </c>
      <c r="C91" s="3" t="s">
        <v>4</v>
      </c>
      <c r="D91" s="3" t="s">
        <v>431</v>
      </c>
      <c r="E91" s="3" t="s">
        <v>432</v>
      </c>
      <c r="F91" s="3" t="s">
        <v>112</v>
      </c>
      <c r="G91" s="3" t="s">
        <v>211</v>
      </c>
      <c r="H91" s="3" t="s">
        <v>20</v>
      </c>
      <c r="I91" s="3">
        <v>350</v>
      </c>
      <c r="J91" s="3" t="s">
        <v>129</v>
      </c>
      <c r="K91" s="3" t="s">
        <v>3</v>
      </c>
      <c r="L91" s="3" t="s">
        <v>82</v>
      </c>
      <c r="M91" s="4">
        <v>199900</v>
      </c>
      <c r="N91" s="5">
        <v>8.4</v>
      </c>
      <c r="O91" s="4">
        <f t="shared" si="2"/>
        <v>16791.599999999999</v>
      </c>
      <c r="P91" s="4">
        <f t="shared" si="3"/>
        <v>183108.4</v>
      </c>
      <c r="Q91" s="3" t="s">
        <v>40</v>
      </c>
      <c r="R91" s="3" t="s">
        <v>68</v>
      </c>
      <c r="S91" s="3" t="s">
        <v>67</v>
      </c>
      <c r="T91" s="3" t="s">
        <v>26</v>
      </c>
    </row>
    <row r="92" spans="1:20" ht="15" customHeight="1" x14ac:dyDescent="0.3">
      <c r="A92" s="3" t="s">
        <v>433</v>
      </c>
      <c r="B92" s="3" t="s">
        <v>138</v>
      </c>
      <c r="C92" s="3" t="s">
        <v>16</v>
      </c>
      <c r="D92" s="3" t="s">
        <v>434</v>
      </c>
      <c r="E92" s="3" t="s">
        <v>435</v>
      </c>
      <c r="F92" s="3" t="s">
        <v>134</v>
      </c>
      <c r="G92" s="3" t="s">
        <v>64</v>
      </c>
      <c r="H92" s="3" t="s">
        <v>19</v>
      </c>
      <c r="I92" s="3">
        <v>200</v>
      </c>
      <c r="J92" s="3" t="s">
        <v>65</v>
      </c>
      <c r="K92" s="3" t="s">
        <v>11</v>
      </c>
      <c r="L92" s="3" t="s">
        <v>90</v>
      </c>
      <c r="M92" s="4">
        <v>199900</v>
      </c>
      <c r="N92" s="5">
        <v>10.199999999999999</v>
      </c>
      <c r="O92" s="4">
        <f t="shared" si="2"/>
        <v>20389.8</v>
      </c>
      <c r="P92" s="4">
        <f t="shared" si="3"/>
        <v>179510.2</v>
      </c>
      <c r="Q92" s="3" t="s">
        <v>25</v>
      </c>
      <c r="R92" s="3" t="s">
        <v>67</v>
      </c>
      <c r="S92" s="3" t="s">
        <v>68</v>
      </c>
      <c r="T92" s="3" t="s">
        <v>26</v>
      </c>
    </row>
    <row r="93" spans="1:20" ht="15" customHeight="1" x14ac:dyDescent="0.3">
      <c r="A93" s="3" t="s">
        <v>436</v>
      </c>
      <c r="B93" s="3" t="s">
        <v>437</v>
      </c>
      <c r="C93" s="3" t="s">
        <v>0</v>
      </c>
      <c r="D93" s="3" t="s">
        <v>438</v>
      </c>
      <c r="E93" s="3" t="s">
        <v>439</v>
      </c>
      <c r="F93" s="3" t="s">
        <v>145</v>
      </c>
      <c r="G93" s="3" t="s">
        <v>324</v>
      </c>
      <c r="H93" s="3" t="s">
        <v>19</v>
      </c>
      <c r="I93" s="3">
        <v>149</v>
      </c>
      <c r="J93" s="3" t="s">
        <v>129</v>
      </c>
      <c r="K93" s="3" t="s">
        <v>1</v>
      </c>
      <c r="L93" s="3" t="s">
        <v>136</v>
      </c>
      <c r="M93" s="4">
        <v>119900</v>
      </c>
      <c r="N93" s="5">
        <v>10.4</v>
      </c>
      <c r="O93" s="4">
        <f t="shared" si="2"/>
        <v>12469.6</v>
      </c>
      <c r="P93" s="4">
        <f t="shared" si="3"/>
        <v>107430.39999999999</v>
      </c>
      <c r="Q93" s="3" t="s">
        <v>28</v>
      </c>
      <c r="R93" s="3" t="s">
        <v>67</v>
      </c>
      <c r="S93" s="3" t="s">
        <v>68</v>
      </c>
      <c r="T93" s="3" t="s">
        <v>29</v>
      </c>
    </row>
    <row r="94" spans="1:20" ht="15" customHeight="1" x14ac:dyDescent="0.3">
      <c r="A94" s="3" t="s">
        <v>440</v>
      </c>
      <c r="B94" s="3" t="s">
        <v>191</v>
      </c>
      <c r="C94" s="3" t="s">
        <v>14</v>
      </c>
      <c r="D94" s="3" t="s">
        <v>441</v>
      </c>
      <c r="E94" s="3" t="s">
        <v>442</v>
      </c>
      <c r="F94" s="3" t="s">
        <v>174</v>
      </c>
      <c r="G94" s="3" t="s">
        <v>316</v>
      </c>
      <c r="H94" s="3" t="s">
        <v>19</v>
      </c>
      <c r="I94" s="3">
        <v>150</v>
      </c>
      <c r="J94" s="3" t="s">
        <v>243</v>
      </c>
      <c r="K94" s="3" t="s">
        <v>11</v>
      </c>
      <c r="L94" s="3" t="s">
        <v>136</v>
      </c>
      <c r="M94" s="4">
        <v>109900</v>
      </c>
      <c r="N94" s="5">
        <v>14.9</v>
      </c>
      <c r="O94" s="4">
        <f t="shared" si="2"/>
        <v>16375.1</v>
      </c>
      <c r="P94" s="4">
        <f t="shared" si="3"/>
        <v>93524.9</v>
      </c>
      <c r="Q94" s="3" t="s">
        <v>25</v>
      </c>
      <c r="R94" s="3" t="s">
        <v>67</v>
      </c>
      <c r="S94" s="3" t="s">
        <v>67</v>
      </c>
      <c r="T94" s="3" t="s">
        <v>32</v>
      </c>
    </row>
    <row r="95" spans="1:20" ht="15" customHeight="1" x14ac:dyDescent="0.3">
      <c r="A95" s="3" t="s">
        <v>443</v>
      </c>
      <c r="B95" s="3" t="s">
        <v>444</v>
      </c>
      <c r="C95" s="3" t="s">
        <v>12</v>
      </c>
      <c r="D95" s="3" t="s">
        <v>445</v>
      </c>
      <c r="E95" s="3" t="s">
        <v>446</v>
      </c>
      <c r="F95" s="3" t="s">
        <v>87</v>
      </c>
      <c r="G95" s="3" t="s">
        <v>324</v>
      </c>
      <c r="H95" s="3" t="s">
        <v>19</v>
      </c>
      <c r="I95" s="3">
        <v>149</v>
      </c>
      <c r="J95" s="3" t="s">
        <v>119</v>
      </c>
      <c r="K95" s="3" t="s">
        <v>1</v>
      </c>
      <c r="L95" s="3" t="s">
        <v>206</v>
      </c>
      <c r="M95" s="4">
        <v>119900</v>
      </c>
      <c r="N95" s="5">
        <v>5.8</v>
      </c>
      <c r="O95" s="4">
        <f t="shared" si="2"/>
        <v>6954.2</v>
      </c>
      <c r="P95" s="4">
        <f t="shared" si="3"/>
        <v>112945.8</v>
      </c>
      <c r="Q95" s="3" t="s">
        <v>38</v>
      </c>
      <c r="R95" s="3" t="s">
        <v>68</v>
      </c>
      <c r="S95" s="3" t="s">
        <v>68</v>
      </c>
      <c r="T95" s="3" t="s">
        <v>26</v>
      </c>
    </row>
    <row r="96" spans="1:20" ht="15" customHeight="1" x14ac:dyDescent="0.3">
      <c r="A96" s="3" t="s">
        <v>447</v>
      </c>
      <c r="B96" s="3" t="s">
        <v>448</v>
      </c>
      <c r="C96" s="3" t="s">
        <v>17</v>
      </c>
      <c r="D96" s="3" t="s">
        <v>449</v>
      </c>
      <c r="E96" s="3" t="s">
        <v>450</v>
      </c>
      <c r="F96" s="3" t="s">
        <v>124</v>
      </c>
      <c r="G96" s="3" t="s">
        <v>146</v>
      </c>
      <c r="H96" s="3" t="s">
        <v>18</v>
      </c>
      <c r="I96" s="3">
        <v>110</v>
      </c>
      <c r="J96" s="3" t="s">
        <v>243</v>
      </c>
      <c r="K96" s="3" t="s">
        <v>5</v>
      </c>
      <c r="L96" s="3" t="s">
        <v>66</v>
      </c>
      <c r="M96" s="4">
        <v>74900</v>
      </c>
      <c r="N96" s="5">
        <v>4</v>
      </c>
      <c r="O96" s="4">
        <f t="shared" si="2"/>
        <v>2996</v>
      </c>
      <c r="P96" s="4">
        <f t="shared" si="3"/>
        <v>71904</v>
      </c>
      <c r="Q96" s="3" t="s">
        <v>28</v>
      </c>
      <c r="R96" s="3" t="s">
        <v>68</v>
      </c>
      <c r="S96" s="3" t="s">
        <v>68</v>
      </c>
      <c r="T96" s="3" t="s">
        <v>26</v>
      </c>
    </row>
    <row r="97" spans="1:20" ht="15" customHeight="1" x14ac:dyDescent="0.3">
      <c r="A97" s="3" t="s">
        <v>451</v>
      </c>
      <c r="B97" s="3" t="s">
        <v>410</v>
      </c>
      <c r="C97" s="3" t="s">
        <v>17</v>
      </c>
      <c r="D97" s="3" t="s">
        <v>452</v>
      </c>
      <c r="E97" s="3" t="s">
        <v>453</v>
      </c>
      <c r="F97" s="3" t="s">
        <v>117</v>
      </c>
      <c r="G97" s="3" t="s">
        <v>73</v>
      </c>
      <c r="H97" s="3" t="s">
        <v>21</v>
      </c>
      <c r="I97" s="3">
        <v>110</v>
      </c>
      <c r="J97" s="3" t="s">
        <v>89</v>
      </c>
      <c r="K97" s="3" t="s">
        <v>11</v>
      </c>
      <c r="L97" s="3" t="s">
        <v>90</v>
      </c>
      <c r="M97" s="4">
        <v>79900</v>
      </c>
      <c r="N97" s="5">
        <v>8.6999999999999993</v>
      </c>
      <c r="O97" s="4">
        <f t="shared" si="2"/>
        <v>6951.3</v>
      </c>
      <c r="P97" s="4">
        <f t="shared" si="3"/>
        <v>72948.7</v>
      </c>
      <c r="Q97" s="3" t="s">
        <v>38</v>
      </c>
      <c r="R97" s="3" t="s">
        <v>68</v>
      </c>
      <c r="S97" s="3" t="s">
        <v>68</v>
      </c>
      <c r="T97" s="3" t="s">
        <v>29</v>
      </c>
    </row>
    <row r="98" spans="1:20" ht="15" customHeight="1" x14ac:dyDescent="0.3">
      <c r="A98" s="3" t="s">
        <v>454</v>
      </c>
      <c r="B98" s="3" t="s">
        <v>186</v>
      </c>
      <c r="C98" s="3" t="s">
        <v>6</v>
      </c>
      <c r="D98" s="3" t="s">
        <v>455</v>
      </c>
      <c r="E98" s="3" t="s">
        <v>456</v>
      </c>
      <c r="F98" s="3" t="s">
        <v>63</v>
      </c>
      <c r="G98" s="3" t="s">
        <v>324</v>
      </c>
      <c r="H98" s="3" t="s">
        <v>19</v>
      </c>
      <c r="I98" s="3">
        <v>149</v>
      </c>
      <c r="J98" s="3" t="s">
        <v>179</v>
      </c>
      <c r="K98" s="3" t="s">
        <v>1</v>
      </c>
      <c r="L98" s="3" t="s">
        <v>136</v>
      </c>
      <c r="M98" s="4">
        <v>119900</v>
      </c>
      <c r="N98" s="5">
        <v>4.3</v>
      </c>
      <c r="O98" s="4">
        <f t="shared" si="2"/>
        <v>5155.7</v>
      </c>
      <c r="P98" s="4">
        <f t="shared" si="3"/>
        <v>114744.3</v>
      </c>
      <c r="Q98" s="3" t="s">
        <v>38</v>
      </c>
      <c r="R98" s="3" t="s">
        <v>67</v>
      </c>
      <c r="S98" s="3" t="s">
        <v>68</v>
      </c>
      <c r="T98" s="3" t="s">
        <v>26</v>
      </c>
    </row>
    <row r="99" spans="1:20" ht="15" customHeight="1" x14ac:dyDescent="0.3">
      <c r="A99" s="3" t="s">
        <v>457</v>
      </c>
      <c r="B99" s="3" t="s">
        <v>437</v>
      </c>
      <c r="C99" s="3" t="s">
        <v>0</v>
      </c>
      <c r="D99" s="3" t="s">
        <v>458</v>
      </c>
      <c r="E99" s="3" t="s">
        <v>459</v>
      </c>
      <c r="F99" s="3" t="s">
        <v>155</v>
      </c>
      <c r="G99" s="3" t="s">
        <v>316</v>
      </c>
      <c r="H99" s="3" t="s">
        <v>19</v>
      </c>
      <c r="I99" s="3">
        <v>150</v>
      </c>
      <c r="J99" s="3" t="s">
        <v>129</v>
      </c>
      <c r="K99" s="3" t="s">
        <v>1</v>
      </c>
      <c r="L99" s="3" t="s">
        <v>103</v>
      </c>
      <c r="M99" s="4">
        <v>109900</v>
      </c>
      <c r="N99" s="5">
        <v>5.4</v>
      </c>
      <c r="O99" s="4">
        <f t="shared" si="2"/>
        <v>5934.6</v>
      </c>
      <c r="P99" s="4">
        <f t="shared" si="3"/>
        <v>103965.4</v>
      </c>
      <c r="Q99" s="3" t="s">
        <v>25</v>
      </c>
      <c r="R99" s="3" t="s">
        <v>68</v>
      </c>
      <c r="S99" s="3" t="s">
        <v>67</v>
      </c>
      <c r="T99" s="3" t="s">
        <v>29</v>
      </c>
    </row>
    <row r="100" spans="1:20" ht="15" customHeight="1" x14ac:dyDescent="0.3">
      <c r="A100" s="3" t="s">
        <v>460</v>
      </c>
      <c r="B100" s="3" t="s">
        <v>152</v>
      </c>
      <c r="C100" s="3" t="s">
        <v>6</v>
      </c>
      <c r="D100" s="3" t="s">
        <v>461</v>
      </c>
      <c r="E100" s="3" t="s">
        <v>462</v>
      </c>
      <c r="F100" s="3" t="s">
        <v>63</v>
      </c>
      <c r="G100" s="3" t="s">
        <v>80</v>
      </c>
      <c r="H100" s="3" t="s">
        <v>22</v>
      </c>
      <c r="I100" s="3">
        <v>0</v>
      </c>
      <c r="J100" s="3" t="s">
        <v>96</v>
      </c>
      <c r="K100" s="3" t="s">
        <v>1</v>
      </c>
      <c r="L100" s="3" t="s">
        <v>82</v>
      </c>
      <c r="M100" s="4">
        <v>145000</v>
      </c>
      <c r="N100" s="5">
        <v>4.2</v>
      </c>
      <c r="O100" s="4">
        <f t="shared" si="2"/>
        <v>6090</v>
      </c>
      <c r="P100" s="4">
        <f t="shared" si="3"/>
        <v>138910</v>
      </c>
      <c r="Q100" s="3" t="s">
        <v>31</v>
      </c>
      <c r="R100" s="3" t="s">
        <v>67</v>
      </c>
      <c r="S100" s="3" t="s">
        <v>68</v>
      </c>
      <c r="T100" s="3" t="s">
        <v>26</v>
      </c>
    </row>
    <row r="101" spans="1:20" ht="15" customHeight="1" x14ac:dyDescent="0.3">
      <c r="A101" s="3" t="s">
        <v>463</v>
      </c>
      <c r="B101" s="3" t="s">
        <v>300</v>
      </c>
      <c r="C101" s="3" t="s">
        <v>12</v>
      </c>
      <c r="D101" s="3" t="s">
        <v>464</v>
      </c>
      <c r="E101" s="3" t="s">
        <v>465</v>
      </c>
      <c r="F101" s="3" t="s">
        <v>155</v>
      </c>
      <c r="G101" s="3" t="s">
        <v>64</v>
      </c>
      <c r="H101" s="3" t="s">
        <v>19</v>
      </c>
      <c r="I101" s="3">
        <v>200</v>
      </c>
      <c r="J101" s="3" t="s">
        <v>102</v>
      </c>
      <c r="K101" s="3" t="s">
        <v>9</v>
      </c>
      <c r="L101" s="3" t="s">
        <v>90</v>
      </c>
      <c r="M101" s="4">
        <v>199900</v>
      </c>
      <c r="N101" s="5">
        <v>13.2</v>
      </c>
      <c r="O101" s="4">
        <f t="shared" si="2"/>
        <v>26386.799999999999</v>
      </c>
      <c r="P101" s="4">
        <f t="shared" si="3"/>
        <v>173513.2</v>
      </c>
      <c r="Q101" s="3" t="s">
        <v>34</v>
      </c>
      <c r="R101" s="3" t="s">
        <v>68</v>
      </c>
      <c r="S101" s="3" t="s">
        <v>68</v>
      </c>
      <c r="T101" s="3" t="s">
        <v>26</v>
      </c>
    </row>
    <row r="102" spans="1:20" ht="15" customHeight="1" x14ac:dyDescent="0.3">
      <c r="A102" s="3" t="s">
        <v>466</v>
      </c>
      <c r="B102" s="3" t="s">
        <v>467</v>
      </c>
      <c r="C102" s="3" t="s">
        <v>14</v>
      </c>
      <c r="D102" s="3" t="s">
        <v>468</v>
      </c>
      <c r="E102" s="3" t="s">
        <v>469</v>
      </c>
      <c r="F102" s="3" t="s">
        <v>134</v>
      </c>
      <c r="G102" s="3" t="s">
        <v>256</v>
      </c>
      <c r="H102" s="3" t="s">
        <v>21</v>
      </c>
      <c r="I102" s="3">
        <v>110</v>
      </c>
      <c r="J102" s="3" t="s">
        <v>164</v>
      </c>
      <c r="K102" s="3" t="s">
        <v>9</v>
      </c>
      <c r="L102" s="3" t="s">
        <v>206</v>
      </c>
      <c r="M102" s="4">
        <v>80900</v>
      </c>
      <c r="N102" s="5">
        <v>5</v>
      </c>
      <c r="O102" s="4">
        <f t="shared" si="2"/>
        <v>4045</v>
      </c>
      <c r="P102" s="4">
        <f t="shared" si="3"/>
        <v>76855</v>
      </c>
      <c r="Q102" s="3" t="s">
        <v>31</v>
      </c>
      <c r="R102" s="3" t="s">
        <v>68</v>
      </c>
      <c r="S102" s="3" t="s">
        <v>67</v>
      </c>
      <c r="T102" s="3" t="s">
        <v>26</v>
      </c>
    </row>
    <row r="103" spans="1:20" ht="15" customHeight="1" x14ac:dyDescent="0.3">
      <c r="A103" s="3" t="s">
        <v>470</v>
      </c>
      <c r="B103" s="3" t="s">
        <v>437</v>
      </c>
      <c r="C103" s="3" t="s">
        <v>0</v>
      </c>
      <c r="D103" s="3" t="s">
        <v>468</v>
      </c>
      <c r="E103" s="3" t="s">
        <v>471</v>
      </c>
      <c r="F103" s="3" t="s">
        <v>112</v>
      </c>
      <c r="G103" s="3" t="s">
        <v>169</v>
      </c>
      <c r="H103" s="3" t="s">
        <v>18</v>
      </c>
      <c r="I103" s="3">
        <v>162</v>
      </c>
      <c r="J103" s="3" t="s">
        <v>65</v>
      </c>
      <c r="K103" s="3" t="s">
        <v>5</v>
      </c>
      <c r="L103" s="3" t="s">
        <v>206</v>
      </c>
      <c r="M103" s="4">
        <v>124900</v>
      </c>
      <c r="N103" s="5">
        <v>9.9</v>
      </c>
      <c r="O103" s="4">
        <f t="shared" si="2"/>
        <v>12365.1</v>
      </c>
      <c r="P103" s="4">
        <f t="shared" si="3"/>
        <v>112534.9</v>
      </c>
      <c r="Q103" s="3" t="s">
        <v>38</v>
      </c>
      <c r="R103" s="3" t="s">
        <v>67</v>
      </c>
      <c r="S103" s="3" t="s">
        <v>68</v>
      </c>
      <c r="T103" s="3" t="s">
        <v>26</v>
      </c>
    </row>
    <row r="104" spans="1:20" ht="15" customHeight="1" x14ac:dyDescent="0.3">
      <c r="A104" s="3" t="s">
        <v>472</v>
      </c>
      <c r="B104" s="3" t="s">
        <v>391</v>
      </c>
      <c r="C104" s="3" t="s">
        <v>6</v>
      </c>
      <c r="D104" s="3" t="s">
        <v>473</v>
      </c>
      <c r="E104" s="3" t="s">
        <v>474</v>
      </c>
      <c r="F104" s="3" t="s">
        <v>87</v>
      </c>
      <c r="G104" s="3" t="s">
        <v>88</v>
      </c>
      <c r="H104" s="3" t="s">
        <v>18</v>
      </c>
      <c r="I104" s="3">
        <v>125</v>
      </c>
      <c r="J104" s="3" t="s">
        <v>164</v>
      </c>
      <c r="K104" s="3" t="s">
        <v>11</v>
      </c>
      <c r="L104" s="3" t="s">
        <v>103</v>
      </c>
      <c r="M104" s="4">
        <v>94900</v>
      </c>
      <c r="N104" s="5">
        <v>7.3</v>
      </c>
      <c r="O104" s="4">
        <f t="shared" si="2"/>
        <v>6927.7</v>
      </c>
      <c r="P104" s="4">
        <f t="shared" si="3"/>
        <v>87972.3</v>
      </c>
      <c r="Q104" s="3" t="s">
        <v>25</v>
      </c>
      <c r="R104" s="3" t="s">
        <v>67</v>
      </c>
      <c r="S104" s="3" t="s">
        <v>68</v>
      </c>
      <c r="T104" s="3" t="s">
        <v>26</v>
      </c>
    </row>
    <row r="105" spans="1:20" ht="15" customHeight="1" x14ac:dyDescent="0.3">
      <c r="A105" s="3" t="s">
        <v>475</v>
      </c>
      <c r="B105" s="3" t="s">
        <v>341</v>
      </c>
      <c r="C105" s="3" t="s">
        <v>12</v>
      </c>
      <c r="D105" s="3" t="s">
        <v>476</v>
      </c>
      <c r="E105" s="3" t="s">
        <v>477</v>
      </c>
      <c r="F105" s="3" t="s">
        <v>124</v>
      </c>
      <c r="G105" s="3" t="s">
        <v>88</v>
      </c>
      <c r="H105" s="3" t="s">
        <v>18</v>
      </c>
      <c r="I105" s="3">
        <v>125</v>
      </c>
      <c r="J105" s="3" t="s">
        <v>81</v>
      </c>
      <c r="K105" s="3" t="s">
        <v>3</v>
      </c>
      <c r="L105" s="3" t="s">
        <v>74</v>
      </c>
      <c r="M105" s="4">
        <v>94900</v>
      </c>
      <c r="N105" s="5">
        <v>14.8</v>
      </c>
      <c r="O105" s="4">
        <f t="shared" si="2"/>
        <v>14045.2</v>
      </c>
      <c r="P105" s="4">
        <f t="shared" si="3"/>
        <v>80854.8</v>
      </c>
      <c r="Q105" s="3" t="s">
        <v>36</v>
      </c>
      <c r="R105" s="3" t="s">
        <v>67</v>
      </c>
      <c r="S105" s="3" t="s">
        <v>68</v>
      </c>
      <c r="T105" s="3" t="s">
        <v>26</v>
      </c>
    </row>
    <row r="106" spans="1:20" ht="15" customHeight="1" x14ac:dyDescent="0.3">
      <c r="A106" s="3" t="s">
        <v>478</v>
      </c>
      <c r="B106" s="3" t="s">
        <v>131</v>
      </c>
      <c r="C106" s="3" t="s">
        <v>15</v>
      </c>
      <c r="D106" s="3" t="s">
        <v>479</v>
      </c>
      <c r="E106" s="3" t="s">
        <v>480</v>
      </c>
      <c r="F106" s="3" t="s">
        <v>112</v>
      </c>
      <c r="G106" s="3" t="s">
        <v>222</v>
      </c>
      <c r="H106" s="3" t="s">
        <v>19</v>
      </c>
      <c r="I106" s="3">
        <v>155</v>
      </c>
      <c r="J106" s="3" t="s">
        <v>81</v>
      </c>
      <c r="K106" s="3" t="s">
        <v>11</v>
      </c>
      <c r="L106" s="3" t="s">
        <v>103</v>
      </c>
      <c r="M106" s="4">
        <v>167900</v>
      </c>
      <c r="N106" s="5">
        <v>5</v>
      </c>
      <c r="O106" s="4">
        <f t="shared" si="2"/>
        <v>8395</v>
      </c>
      <c r="P106" s="4">
        <f t="shared" si="3"/>
        <v>159505</v>
      </c>
      <c r="Q106" s="3" t="s">
        <v>36</v>
      </c>
      <c r="R106" s="3" t="s">
        <v>67</v>
      </c>
      <c r="S106" s="3" t="s">
        <v>67</v>
      </c>
      <c r="T106" s="3" t="s">
        <v>26</v>
      </c>
    </row>
    <row r="107" spans="1:20" ht="15" customHeight="1" x14ac:dyDescent="0.3">
      <c r="A107" s="3" t="s">
        <v>481</v>
      </c>
      <c r="B107" s="3" t="s">
        <v>482</v>
      </c>
      <c r="C107" s="3" t="s">
        <v>6</v>
      </c>
      <c r="D107" s="3" t="s">
        <v>483</v>
      </c>
      <c r="E107" s="3" t="s">
        <v>484</v>
      </c>
      <c r="F107" s="3" t="s">
        <v>134</v>
      </c>
      <c r="G107" s="3" t="s">
        <v>256</v>
      </c>
      <c r="H107" s="3" t="s">
        <v>21</v>
      </c>
      <c r="I107" s="3">
        <v>110</v>
      </c>
      <c r="J107" s="3" t="s">
        <v>243</v>
      </c>
      <c r="K107" s="3" t="s">
        <v>5</v>
      </c>
      <c r="L107" s="3" t="s">
        <v>82</v>
      </c>
      <c r="M107" s="4">
        <v>80900</v>
      </c>
      <c r="N107" s="5">
        <v>11.7</v>
      </c>
      <c r="O107" s="4">
        <f t="shared" si="2"/>
        <v>9465.2999999999993</v>
      </c>
      <c r="P107" s="4">
        <f t="shared" si="3"/>
        <v>71434.7</v>
      </c>
      <c r="Q107" s="3" t="s">
        <v>36</v>
      </c>
      <c r="R107" s="3" t="s">
        <v>67</v>
      </c>
      <c r="S107" s="3" t="s">
        <v>67</v>
      </c>
      <c r="T107" s="3" t="s">
        <v>26</v>
      </c>
    </row>
    <row r="108" spans="1:20" ht="15" customHeight="1" x14ac:dyDescent="0.3">
      <c r="A108" s="3" t="s">
        <v>485</v>
      </c>
      <c r="B108" s="3" t="s">
        <v>234</v>
      </c>
      <c r="C108" s="3" t="s">
        <v>14</v>
      </c>
      <c r="D108" s="3" t="s">
        <v>486</v>
      </c>
      <c r="E108" s="3" t="s">
        <v>487</v>
      </c>
      <c r="F108" s="3" t="s">
        <v>174</v>
      </c>
      <c r="G108" s="3" t="s">
        <v>135</v>
      </c>
      <c r="H108" s="3" t="s">
        <v>19</v>
      </c>
      <c r="I108" s="3">
        <v>160</v>
      </c>
      <c r="J108" s="3" t="s">
        <v>179</v>
      </c>
      <c r="K108" s="3" t="s">
        <v>11</v>
      </c>
      <c r="L108" s="3" t="s">
        <v>97</v>
      </c>
      <c r="M108" s="4">
        <v>124900</v>
      </c>
      <c r="N108" s="5">
        <v>5.3</v>
      </c>
      <c r="O108" s="4">
        <f t="shared" si="2"/>
        <v>6619.7</v>
      </c>
      <c r="P108" s="4">
        <f t="shared" si="3"/>
        <v>118280.3</v>
      </c>
      <c r="Q108" s="3" t="s">
        <v>38</v>
      </c>
      <c r="R108" s="3" t="s">
        <v>67</v>
      </c>
      <c r="S108" s="3" t="s">
        <v>68</v>
      </c>
      <c r="T108" s="3" t="s">
        <v>26</v>
      </c>
    </row>
    <row r="109" spans="1:20" ht="15" customHeight="1" x14ac:dyDescent="0.3">
      <c r="A109" s="3" t="s">
        <v>488</v>
      </c>
      <c r="B109" s="3" t="s">
        <v>489</v>
      </c>
      <c r="C109" s="3" t="s">
        <v>8</v>
      </c>
      <c r="D109" s="3" t="s">
        <v>490</v>
      </c>
      <c r="E109" s="3" t="s">
        <v>491</v>
      </c>
      <c r="F109" s="3" t="s">
        <v>63</v>
      </c>
      <c r="G109" s="3" t="s">
        <v>156</v>
      </c>
      <c r="H109" s="3" t="s">
        <v>21</v>
      </c>
      <c r="I109" s="3">
        <v>125</v>
      </c>
      <c r="J109" s="3" t="s">
        <v>119</v>
      </c>
      <c r="K109" s="3" t="s">
        <v>7</v>
      </c>
      <c r="L109" s="3" t="s">
        <v>90</v>
      </c>
      <c r="M109" s="4">
        <v>88900</v>
      </c>
      <c r="N109" s="5">
        <v>3.4</v>
      </c>
      <c r="O109" s="4">
        <f t="shared" si="2"/>
        <v>3022.6</v>
      </c>
      <c r="P109" s="4">
        <f t="shared" si="3"/>
        <v>85877.4</v>
      </c>
      <c r="Q109" s="3" t="s">
        <v>28</v>
      </c>
      <c r="R109" s="3" t="s">
        <v>67</v>
      </c>
      <c r="S109" s="3" t="s">
        <v>68</v>
      </c>
      <c r="T109" s="3" t="s">
        <v>26</v>
      </c>
    </row>
    <row r="110" spans="1:20" ht="15" customHeight="1" x14ac:dyDescent="0.3">
      <c r="A110" s="3" t="s">
        <v>492</v>
      </c>
      <c r="B110" s="3" t="s">
        <v>493</v>
      </c>
      <c r="C110" s="3" t="s">
        <v>14</v>
      </c>
      <c r="D110" s="3" t="s">
        <v>494</v>
      </c>
      <c r="E110" s="3" t="s">
        <v>495</v>
      </c>
      <c r="F110" s="3" t="s">
        <v>79</v>
      </c>
      <c r="G110" s="3" t="s">
        <v>118</v>
      </c>
      <c r="H110" s="3" t="s">
        <v>20</v>
      </c>
      <c r="I110" s="3">
        <v>350</v>
      </c>
      <c r="J110" s="3" t="s">
        <v>129</v>
      </c>
      <c r="K110" s="3" t="s">
        <v>11</v>
      </c>
      <c r="L110" s="3" t="s">
        <v>66</v>
      </c>
      <c r="M110" s="4">
        <v>159900</v>
      </c>
      <c r="N110" s="5">
        <v>13.9</v>
      </c>
      <c r="O110" s="4">
        <f t="shared" si="2"/>
        <v>22226.1</v>
      </c>
      <c r="P110" s="4">
        <f t="shared" si="3"/>
        <v>137673.9</v>
      </c>
      <c r="Q110" s="3" t="s">
        <v>36</v>
      </c>
      <c r="R110" s="3" t="s">
        <v>67</v>
      </c>
      <c r="S110" s="3" t="s">
        <v>67</v>
      </c>
      <c r="T110" s="3" t="s">
        <v>32</v>
      </c>
    </row>
    <row r="111" spans="1:20" ht="15" customHeight="1" x14ac:dyDescent="0.3">
      <c r="A111" s="3" t="s">
        <v>496</v>
      </c>
      <c r="B111" s="3" t="s">
        <v>497</v>
      </c>
      <c r="C111" s="3" t="s">
        <v>17</v>
      </c>
      <c r="D111" s="3" t="s">
        <v>498</v>
      </c>
      <c r="E111" s="3" t="s">
        <v>499</v>
      </c>
      <c r="F111" s="3" t="s">
        <v>112</v>
      </c>
      <c r="G111" s="3" t="s">
        <v>135</v>
      </c>
      <c r="H111" s="3" t="s">
        <v>19</v>
      </c>
      <c r="I111" s="3">
        <v>160</v>
      </c>
      <c r="J111" s="3" t="s">
        <v>96</v>
      </c>
      <c r="K111" s="3" t="s">
        <v>7</v>
      </c>
      <c r="L111" s="3" t="s">
        <v>103</v>
      </c>
      <c r="M111" s="4">
        <v>124900</v>
      </c>
      <c r="N111" s="5">
        <v>6.1</v>
      </c>
      <c r="O111" s="4">
        <f t="shared" si="2"/>
        <v>7618.9</v>
      </c>
      <c r="P111" s="4">
        <f t="shared" si="3"/>
        <v>117281.1</v>
      </c>
      <c r="Q111" s="3" t="s">
        <v>40</v>
      </c>
      <c r="R111" s="3" t="s">
        <v>68</v>
      </c>
      <c r="S111" s="3" t="s">
        <v>68</v>
      </c>
      <c r="T111" s="3" t="s">
        <v>26</v>
      </c>
    </row>
    <row r="112" spans="1:20" ht="15" customHeight="1" x14ac:dyDescent="0.3">
      <c r="A112" s="3" t="s">
        <v>500</v>
      </c>
      <c r="B112" s="3" t="s">
        <v>501</v>
      </c>
      <c r="C112" s="3" t="s">
        <v>12</v>
      </c>
      <c r="D112" s="3" t="s">
        <v>502</v>
      </c>
      <c r="E112" s="3" t="s">
        <v>503</v>
      </c>
      <c r="F112" s="3" t="s">
        <v>155</v>
      </c>
      <c r="G112" s="3" t="s">
        <v>201</v>
      </c>
      <c r="H112" s="3" t="s">
        <v>19</v>
      </c>
      <c r="I112" s="3">
        <v>160</v>
      </c>
      <c r="J112" s="3" t="s">
        <v>81</v>
      </c>
      <c r="K112" s="3" t="s">
        <v>11</v>
      </c>
      <c r="L112" s="3" t="s">
        <v>82</v>
      </c>
      <c r="M112" s="4">
        <v>129900</v>
      </c>
      <c r="N112" s="5">
        <v>13.7</v>
      </c>
      <c r="O112" s="4">
        <f t="shared" si="2"/>
        <v>17796.3</v>
      </c>
      <c r="P112" s="4">
        <f t="shared" si="3"/>
        <v>112103.7</v>
      </c>
      <c r="Q112" s="3" t="s">
        <v>40</v>
      </c>
      <c r="R112" s="3" t="s">
        <v>67</v>
      </c>
      <c r="S112" s="3" t="s">
        <v>68</v>
      </c>
      <c r="T112" s="3" t="s">
        <v>29</v>
      </c>
    </row>
    <row r="113" spans="1:20" ht="15" customHeight="1" x14ac:dyDescent="0.3">
      <c r="A113" s="3" t="s">
        <v>504</v>
      </c>
      <c r="B113" s="3" t="s">
        <v>105</v>
      </c>
      <c r="C113" s="3" t="s">
        <v>13</v>
      </c>
      <c r="D113" s="3" t="s">
        <v>505</v>
      </c>
      <c r="E113" s="3" t="s">
        <v>506</v>
      </c>
      <c r="F113" s="3" t="s">
        <v>112</v>
      </c>
      <c r="G113" s="3" t="s">
        <v>256</v>
      </c>
      <c r="H113" s="3" t="s">
        <v>21</v>
      </c>
      <c r="I113" s="3">
        <v>110</v>
      </c>
      <c r="J113" s="3" t="s">
        <v>81</v>
      </c>
      <c r="K113" s="3" t="s">
        <v>5</v>
      </c>
      <c r="L113" s="3" t="s">
        <v>97</v>
      </c>
      <c r="M113" s="4">
        <v>80900</v>
      </c>
      <c r="N113" s="5">
        <v>13.2</v>
      </c>
      <c r="O113" s="4">
        <f t="shared" si="2"/>
        <v>10678.8</v>
      </c>
      <c r="P113" s="4">
        <f t="shared" si="3"/>
        <v>70221.2</v>
      </c>
      <c r="Q113" s="3" t="s">
        <v>38</v>
      </c>
      <c r="R113" s="3" t="s">
        <v>67</v>
      </c>
      <c r="S113" s="3" t="s">
        <v>67</v>
      </c>
      <c r="T113" s="3" t="s">
        <v>26</v>
      </c>
    </row>
    <row r="114" spans="1:20" ht="15" customHeight="1" x14ac:dyDescent="0.3">
      <c r="A114" s="3" t="s">
        <v>507</v>
      </c>
      <c r="B114" s="3" t="s">
        <v>249</v>
      </c>
      <c r="C114" s="3" t="s">
        <v>13</v>
      </c>
      <c r="D114" s="3" t="s">
        <v>464</v>
      </c>
      <c r="E114" s="3" t="s">
        <v>508</v>
      </c>
      <c r="F114" s="3" t="s">
        <v>124</v>
      </c>
      <c r="G114" s="3" t="s">
        <v>222</v>
      </c>
      <c r="H114" s="3" t="s">
        <v>19</v>
      </c>
      <c r="I114" s="3">
        <v>155</v>
      </c>
      <c r="J114" s="3" t="s">
        <v>119</v>
      </c>
      <c r="K114" s="3" t="s">
        <v>11</v>
      </c>
      <c r="L114" s="3" t="s">
        <v>82</v>
      </c>
      <c r="M114" s="4">
        <v>167900</v>
      </c>
      <c r="N114" s="5">
        <v>7.7</v>
      </c>
      <c r="O114" s="4">
        <f t="shared" si="2"/>
        <v>12928.3</v>
      </c>
      <c r="P114" s="4">
        <f t="shared" si="3"/>
        <v>154971.70000000001</v>
      </c>
      <c r="Q114" s="3" t="s">
        <v>31</v>
      </c>
      <c r="R114" s="3" t="s">
        <v>68</v>
      </c>
      <c r="S114" s="3" t="s">
        <v>67</v>
      </c>
      <c r="T114" s="3" t="s">
        <v>32</v>
      </c>
    </row>
    <row r="115" spans="1:20" ht="15" customHeight="1" x14ac:dyDescent="0.3">
      <c r="A115" s="3" t="s">
        <v>509</v>
      </c>
      <c r="B115" s="3" t="s">
        <v>158</v>
      </c>
      <c r="C115" s="3" t="s">
        <v>16</v>
      </c>
      <c r="D115" s="3" t="s">
        <v>510</v>
      </c>
      <c r="E115" s="3" t="s">
        <v>511</v>
      </c>
      <c r="F115" s="3" t="s">
        <v>155</v>
      </c>
      <c r="G115" s="3" t="s">
        <v>189</v>
      </c>
      <c r="H115" s="3" t="s">
        <v>18</v>
      </c>
      <c r="I115" s="3">
        <v>100</v>
      </c>
      <c r="J115" s="3" t="s">
        <v>164</v>
      </c>
      <c r="K115" s="3" t="s">
        <v>7</v>
      </c>
      <c r="L115" s="3" t="s">
        <v>74</v>
      </c>
      <c r="M115" s="4">
        <v>72900</v>
      </c>
      <c r="N115" s="5">
        <v>10.5</v>
      </c>
      <c r="O115" s="4">
        <f t="shared" si="2"/>
        <v>7654.5</v>
      </c>
      <c r="P115" s="4">
        <f t="shared" si="3"/>
        <v>65245.5</v>
      </c>
      <c r="Q115" s="3" t="s">
        <v>25</v>
      </c>
      <c r="R115" s="3" t="s">
        <v>67</v>
      </c>
      <c r="S115" s="3" t="s">
        <v>67</v>
      </c>
      <c r="T115" s="3" t="s">
        <v>26</v>
      </c>
    </row>
    <row r="116" spans="1:20" ht="15" customHeight="1" x14ac:dyDescent="0.3">
      <c r="A116" s="3" t="s">
        <v>512</v>
      </c>
      <c r="B116" s="3" t="s">
        <v>186</v>
      </c>
      <c r="C116" s="3" t="s">
        <v>6</v>
      </c>
      <c r="D116" s="3" t="s">
        <v>513</v>
      </c>
      <c r="E116" s="3" t="s">
        <v>514</v>
      </c>
      <c r="F116" s="3" t="s">
        <v>87</v>
      </c>
      <c r="G116" s="3" t="s">
        <v>256</v>
      </c>
      <c r="H116" s="3" t="s">
        <v>21</v>
      </c>
      <c r="I116" s="3">
        <v>110</v>
      </c>
      <c r="J116" s="3" t="s">
        <v>179</v>
      </c>
      <c r="K116" s="3" t="s">
        <v>3</v>
      </c>
      <c r="L116" s="3" t="s">
        <v>97</v>
      </c>
      <c r="M116" s="4">
        <v>80900</v>
      </c>
      <c r="N116" s="5">
        <v>12.7</v>
      </c>
      <c r="O116" s="4">
        <f t="shared" si="2"/>
        <v>10274.299999999999</v>
      </c>
      <c r="P116" s="4">
        <f t="shared" si="3"/>
        <v>70625.7</v>
      </c>
      <c r="Q116" s="3" t="s">
        <v>36</v>
      </c>
      <c r="R116" s="3" t="s">
        <v>67</v>
      </c>
      <c r="S116" s="3" t="s">
        <v>68</v>
      </c>
      <c r="T116" s="3" t="s">
        <v>26</v>
      </c>
    </row>
    <row r="117" spans="1:20" ht="15" customHeight="1" x14ac:dyDescent="0.3">
      <c r="A117" s="3" t="s">
        <v>515</v>
      </c>
      <c r="B117" s="3" t="s">
        <v>410</v>
      </c>
      <c r="C117" s="3" t="s">
        <v>17</v>
      </c>
      <c r="D117" s="3" t="s">
        <v>516</v>
      </c>
      <c r="E117" s="3" t="s">
        <v>517</v>
      </c>
      <c r="F117" s="3" t="s">
        <v>124</v>
      </c>
      <c r="G117" s="3" t="s">
        <v>222</v>
      </c>
      <c r="H117" s="3" t="s">
        <v>19</v>
      </c>
      <c r="I117" s="3">
        <v>155</v>
      </c>
      <c r="J117" s="3" t="s">
        <v>243</v>
      </c>
      <c r="K117" s="3" t="s">
        <v>9</v>
      </c>
      <c r="L117" s="3" t="s">
        <v>82</v>
      </c>
      <c r="M117" s="4">
        <v>167900</v>
      </c>
      <c r="N117" s="5">
        <v>12.4</v>
      </c>
      <c r="O117" s="4">
        <f t="shared" si="2"/>
        <v>20819.599999999999</v>
      </c>
      <c r="P117" s="4">
        <f t="shared" si="3"/>
        <v>147080.4</v>
      </c>
      <c r="Q117" s="3" t="s">
        <v>31</v>
      </c>
      <c r="R117" s="3" t="s">
        <v>67</v>
      </c>
      <c r="S117" s="3" t="s">
        <v>68</v>
      </c>
      <c r="T117" s="3" t="s">
        <v>26</v>
      </c>
    </row>
    <row r="118" spans="1:20" ht="15" customHeight="1" x14ac:dyDescent="0.3">
      <c r="A118" s="3" t="s">
        <v>518</v>
      </c>
      <c r="B118" s="3" t="s">
        <v>497</v>
      </c>
      <c r="C118" s="3" t="s">
        <v>17</v>
      </c>
      <c r="D118" s="3" t="s">
        <v>502</v>
      </c>
      <c r="E118" s="3" t="s">
        <v>519</v>
      </c>
      <c r="F118" s="3" t="s">
        <v>87</v>
      </c>
      <c r="G118" s="3" t="s">
        <v>189</v>
      </c>
      <c r="H118" s="3" t="s">
        <v>18</v>
      </c>
      <c r="I118" s="3">
        <v>100</v>
      </c>
      <c r="J118" s="3" t="s">
        <v>243</v>
      </c>
      <c r="K118" s="3" t="s">
        <v>5</v>
      </c>
      <c r="L118" s="3" t="s">
        <v>66</v>
      </c>
      <c r="M118" s="4">
        <v>72900</v>
      </c>
      <c r="N118" s="5">
        <v>10.9</v>
      </c>
      <c r="O118" s="4">
        <f t="shared" si="2"/>
        <v>7946.1</v>
      </c>
      <c r="P118" s="4">
        <f t="shared" si="3"/>
        <v>64953.9</v>
      </c>
      <c r="Q118" s="3" t="s">
        <v>34</v>
      </c>
      <c r="R118" s="3" t="s">
        <v>67</v>
      </c>
      <c r="S118" s="3" t="s">
        <v>68</v>
      </c>
      <c r="T118" s="3" t="s">
        <v>29</v>
      </c>
    </row>
    <row r="119" spans="1:20" ht="15" customHeight="1" x14ac:dyDescent="0.3">
      <c r="A119" s="3" t="s">
        <v>520</v>
      </c>
      <c r="B119" s="3" t="s">
        <v>521</v>
      </c>
      <c r="C119" s="3" t="s">
        <v>15</v>
      </c>
      <c r="D119" s="3" t="s">
        <v>522</v>
      </c>
      <c r="E119" s="3" t="s">
        <v>523</v>
      </c>
      <c r="F119" s="3" t="s">
        <v>155</v>
      </c>
      <c r="G119" s="3" t="s">
        <v>316</v>
      </c>
      <c r="H119" s="3" t="s">
        <v>19</v>
      </c>
      <c r="I119" s="3">
        <v>150</v>
      </c>
      <c r="J119" s="3" t="s">
        <v>65</v>
      </c>
      <c r="K119" s="3" t="s">
        <v>5</v>
      </c>
      <c r="L119" s="3" t="s">
        <v>82</v>
      </c>
      <c r="M119" s="4">
        <v>109900</v>
      </c>
      <c r="N119" s="5">
        <v>9.4</v>
      </c>
      <c r="O119" s="4">
        <f t="shared" si="2"/>
        <v>10330.6</v>
      </c>
      <c r="P119" s="4">
        <f t="shared" si="3"/>
        <v>99569.4</v>
      </c>
      <c r="Q119" s="3" t="s">
        <v>25</v>
      </c>
      <c r="R119" s="3" t="s">
        <v>67</v>
      </c>
      <c r="S119" s="3" t="s">
        <v>67</v>
      </c>
      <c r="T119" s="3" t="s">
        <v>32</v>
      </c>
    </row>
    <row r="120" spans="1:20" ht="15" customHeight="1" x14ac:dyDescent="0.3">
      <c r="A120" s="3" t="s">
        <v>524</v>
      </c>
      <c r="B120" s="3" t="s">
        <v>158</v>
      </c>
      <c r="C120" s="3" t="s">
        <v>16</v>
      </c>
      <c r="D120" s="3" t="s">
        <v>525</v>
      </c>
      <c r="E120" s="3" t="s">
        <v>526</v>
      </c>
      <c r="F120" s="3" t="s">
        <v>174</v>
      </c>
      <c r="G120" s="3" t="s">
        <v>135</v>
      </c>
      <c r="H120" s="3" t="s">
        <v>19</v>
      </c>
      <c r="I120" s="3">
        <v>160</v>
      </c>
      <c r="J120" s="3" t="s">
        <v>65</v>
      </c>
      <c r="K120" s="3" t="s">
        <v>3</v>
      </c>
      <c r="L120" s="3" t="s">
        <v>66</v>
      </c>
      <c r="M120" s="4">
        <v>124900</v>
      </c>
      <c r="N120" s="5">
        <v>5.2</v>
      </c>
      <c r="O120" s="4">
        <f t="shared" si="2"/>
        <v>6494.8</v>
      </c>
      <c r="P120" s="4">
        <f t="shared" si="3"/>
        <v>118405.2</v>
      </c>
      <c r="Q120" s="3" t="s">
        <v>28</v>
      </c>
      <c r="R120" s="3" t="s">
        <v>67</v>
      </c>
      <c r="S120" s="3" t="s">
        <v>68</v>
      </c>
      <c r="T120" s="3" t="s">
        <v>26</v>
      </c>
    </row>
    <row r="121" spans="1:20" ht="15" customHeight="1" x14ac:dyDescent="0.3">
      <c r="A121" s="3" t="s">
        <v>527</v>
      </c>
      <c r="B121" s="3" t="s">
        <v>528</v>
      </c>
      <c r="C121" s="3" t="s">
        <v>12</v>
      </c>
      <c r="D121" s="3" t="s">
        <v>529</v>
      </c>
      <c r="E121" s="3" t="s">
        <v>530</v>
      </c>
      <c r="F121" s="3" t="s">
        <v>63</v>
      </c>
      <c r="G121" s="3" t="s">
        <v>88</v>
      </c>
      <c r="H121" s="3" t="s">
        <v>18</v>
      </c>
      <c r="I121" s="3">
        <v>125</v>
      </c>
      <c r="J121" s="3" t="s">
        <v>243</v>
      </c>
      <c r="K121" s="3" t="s">
        <v>3</v>
      </c>
      <c r="L121" s="3" t="s">
        <v>90</v>
      </c>
      <c r="M121" s="4">
        <v>94900</v>
      </c>
      <c r="N121" s="5">
        <v>11.3</v>
      </c>
      <c r="O121" s="4">
        <f t="shared" si="2"/>
        <v>10723.7</v>
      </c>
      <c r="P121" s="4">
        <f t="shared" si="3"/>
        <v>84176.3</v>
      </c>
      <c r="Q121" s="3" t="s">
        <v>38</v>
      </c>
      <c r="R121" s="3" t="s">
        <v>68</v>
      </c>
      <c r="S121" s="3" t="s">
        <v>67</v>
      </c>
      <c r="T121" s="3" t="s">
        <v>29</v>
      </c>
    </row>
    <row r="122" spans="1:20" ht="15" customHeight="1" x14ac:dyDescent="0.3">
      <c r="A122" s="3" t="s">
        <v>531</v>
      </c>
      <c r="B122" s="3" t="s">
        <v>70</v>
      </c>
      <c r="C122" s="3" t="s">
        <v>2</v>
      </c>
      <c r="D122" s="3" t="s">
        <v>532</v>
      </c>
      <c r="E122" s="3" t="s">
        <v>533</v>
      </c>
      <c r="F122" s="3" t="s">
        <v>112</v>
      </c>
      <c r="G122" s="3" t="s">
        <v>169</v>
      </c>
      <c r="H122" s="3" t="s">
        <v>18</v>
      </c>
      <c r="I122" s="3">
        <v>162</v>
      </c>
      <c r="J122" s="3" t="s">
        <v>96</v>
      </c>
      <c r="K122" s="3" t="s">
        <v>9</v>
      </c>
      <c r="L122" s="3" t="s">
        <v>136</v>
      </c>
      <c r="M122" s="4">
        <v>124900</v>
      </c>
      <c r="N122" s="5">
        <v>8.8000000000000007</v>
      </c>
      <c r="O122" s="4">
        <f t="shared" si="2"/>
        <v>10991.2</v>
      </c>
      <c r="P122" s="4">
        <f t="shared" si="3"/>
        <v>113908.8</v>
      </c>
      <c r="Q122" s="3" t="s">
        <v>28</v>
      </c>
      <c r="R122" s="3" t="s">
        <v>67</v>
      </c>
      <c r="S122" s="3" t="s">
        <v>67</v>
      </c>
      <c r="T122" s="3" t="s">
        <v>29</v>
      </c>
    </row>
    <row r="123" spans="1:20" ht="15" customHeight="1" x14ac:dyDescent="0.3">
      <c r="A123" s="3" t="s">
        <v>534</v>
      </c>
      <c r="B123" s="3" t="s">
        <v>121</v>
      </c>
      <c r="C123" s="3" t="s">
        <v>13</v>
      </c>
      <c r="D123" s="3" t="s">
        <v>535</v>
      </c>
      <c r="E123" s="3" t="s">
        <v>536</v>
      </c>
      <c r="F123" s="3" t="s">
        <v>112</v>
      </c>
      <c r="G123" s="3" t="s">
        <v>95</v>
      </c>
      <c r="H123" s="3" t="s">
        <v>22</v>
      </c>
      <c r="I123" s="3">
        <v>0</v>
      </c>
      <c r="J123" s="3" t="s">
        <v>96</v>
      </c>
      <c r="K123" s="3" t="s">
        <v>11</v>
      </c>
      <c r="L123" s="3" t="s">
        <v>90</v>
      </c>
      <c r="M123" s="4">
        <v>139999</v>
      </c>
      <c r="N123" s="5">
        <v>11</v>
      </c>
      <c r="O123" s="4">
        <f t="shared" si="2"/>
        <v>15399.89</v>
      </c>
      <c r="P123" s="4">
        <f t="shared" si="3"/>
        <v>124599.11</v>
      </c>
      <c r="Q123" s="3" t="s">
        <v>34</v>
      </c>
      <c r="R123" s="3" t="s">
        <v>67</v>
      </c>
      <c r="S123" s="3" t="s">
        <v>68</v>
      </c>
      <c r="T123" s="3" t="s">
        <v>29</v>
      </c>
    </row>
    <row r="124" spans="1:20" ht="15" customHeight="1" x14ac:dyDescent="0.3">
      <c r="A124" s="3" t="s">
        <v>537</v>
      </c>
      <c r="B124" s="3" t="s">
        <v>60</v>
      </c>
      <c r="C124" s="3" t="s">
        <v>16</v>
      </c>
      <c r="D124" s="3" t="s">
        <v>538</v>
      </c>
      <c r="E124" s="3" t="s">
        <v>539</v>
      </c>
      <c r="F124" s="3" t="s">
        <v>155</v>
      </c>
      <c r="G124" s="3" t="s">
        <v>189</v>
      </c>
      <c r="H124" s="3" t="s">
        <v>18</v>
      </c>
      <c r="I124" s="3">
        <v>100</v>
      </c>
      <c r="J124" s="3" t="s">
        <v>65</v>
      </c>
      <c r="K124" s="3" t="s">
        <v>1</v>
      </c>
      <c r="L124" s="3" t="s">
        <v>103</v>
      </c>
      <c r="M124" s="4">
        <v>72900</v>
      </c>
      <c r="N124" s="5">
        <v>12.7</v>
      </c>
      <c r="O124" s="4">
        <f t="shared" si="2"/>
        <v>9258.2999999999993</v>
      </c>
      <c r="P124" s="4">
        <f t="shared" si="3"/>
        <v>63641.7</v>
      </c>
      <c r="Q124" s="3" t="s">
        <v>34</v>
      </c>
      <c r="R124" s="3" t="s">
        <v>68</v>
      </c>
      <c r="S124" s="3" t="s">
        <v>67</v>
      </c>
      <c r="T124" s="3" t="s">
        <v>29</v>
      </c>
    </row>
    <row r="125" spans="1:20" ht="15" customHeight="1" x14ac:dyDescent="0.3">
      <c r="A125" s="3" t="s">
        <v>540</v>
      </c>
      <c r="B125" s="3" t="s">
        <v>166</v>
      </c>
      <c r="C125" s="3" t="s">
        <v>4</v>
      </c>
      <c r="D125" s="3" t="s">
        <v>541</v>
      </c>
      <c r="E125" s="3" t="s">
        <v>542</v>
      </c>
      <c r="F125" s="3" t="s">
        <v>117</v>
      </c>
      <c r="G125" s="3" t="s">
        <v>135</v>
      </c>
      <c r="H125" s="3" t="s">
        <v>19</v>
      </c>
      <c r="I125" s="3">
        <v>160</v>
      </c>
      <c r="J125" s="3" t="s">
        <v>102</v>
      </c>
      <c r="K125" s="3" t="s">
        <v>5</v>
      </c>
      <c r="L125" s="3" t="s">
        <v>90</v>
      </c>
      <c r="M125" s="4">
        <v>124900</v>
      </c>
      <c r="N125" s="5">
        <v>12.3</v>
      </c>
      <c r="O125" s="4">
        <f t="shared" si="2"/>
        <v>15362.7</v>
      </c>
      <c r="P125" s="4">
        <f t="shared" si="3"/>
        <v>109537.3</v>
      </c>
      <c r="Q125" s="3" t="s">
        <v>31</v>
      </c>
      <c r="R125" s="3" t="s">
        <v>67</v>
      </c>
      <c r="S125" s="3" t="s">
        <v>68</v>
      </c>
      <c r="T125" s="3" t="s">
        <v>29</v>
      </c>
    </row>
    <row r="126" spans="1:20" ht="15" customHeight="1" x14ac:dyDescent="0.3">
      <c r="A126" s="3" t="s">
        <v>543</v>
      </c>
      <c r="B126" s="3" t="s">
        <v>300</v>
      </c>
      <c r="C126" s="3" t="s">
        <v>12</v>
      </c>
      <c r="D126" s="3" t="s">
        <v>544</v>
      </c>
      <c r="E126" s="3" t="s">
        <v>545</v>
      </c>
      <c r="F126" s="3" t="s">
        <v>174</v>
      </c>
      <c r="G126" s="3" t="s">
        <v>64</v>
      </c>
      <c r="H126" s="3" t="s">
        <v>19</v>
      </c>
      <c r="I126" s="3">
        <v>200</v>
      </c>
      <c r="J126" s="3" t="s">
        <v>96</v>
      </c>
      <c r="K126" s="3" t="s">
        <v>7</v>
      </c>
      <c r="L126" s="3" t="s">
        <v>103</v>
      </c>
      <c r="M126" s="4">
        <v>199900</v>
      </c>
      <c r="N126" s="5">
        <v>9</v>
      </c>
      <c r="O126" s="4">
        <f t="shared" si="2"/>
        <v>17991</v>
      </c>
      <c r="P126" s="4">
        <f t="shared" si="3"/>
        <v>181909</v>
      </c>
      <c r="Q126" s="3" t="s">
        <v>28</v>
      </c>
      <c r="R126" s="3" t="s">
        <v>67</v>
      </c>
      <c r="S126" s="3" t="s">
        <v>67</v>
      </c>
      <c r="T126" s="3" t="s">
        <v>26</v>
      </c>
    </row>
    <row r="127" spans="1:20" ht="15" customHeight="1" x14ac:dyDescent="0.3">
      <c r="A127" s="3" t="s">
        <v>546</v>
      </c>
      <c r="B127" s="3" t="s">
        <v>293</v>
      </c>
      <c r="C127" s="3" t="s">
        <v>16</v>
      </c>
      <c r="D127" s="3" t="s">
        <v>547</v>
      </c>
      <c r="E127" s="3" t="s">
        <v>548</v>
      </c>
      <c r="F127" s="3" t="s">
        <v>174</v>
      </c>
      <c r="G127" s="3" t="s">
        <v>211</v>
      </c>
      <c r="H127" s="3" t="s">
        <v>20</v>
      </c>
      <c r="I127" s="3">
        <v>350</v>
      </c>
      <c r="J127" s="3" t="s">
        <v>65</v>
      </c>
      <c r="K127" s="3" t="s">
        <v>11</v>
      </c>
      <c r="L127" s="3" t="s">
        <v>97</v>
      </c>
      <c r="M127" s="4">
        <v>199900</v>
      </c>
      <c r="N127" s="5">
        <v>12.4</v>
      </c>
      <c r="O127" s="4">
        <f t="shared" si="2"/>
        <v>24787.599999999999</v>
      </c>
      <c r="P127" s="4">
        <f t="shared" si="3"/>
        <v>175112.4</v>
      </c>
      <c r="Q127" s="3" t="s">
        <v>36</v>
      </c>
      <c r="R127" s="3" t="s">
        <v>68</v>
      </c>
      <c r="S127" s="3" t="s">
        <v>68</v>
      </c>
      <c r="T127" s="3" t="s">
        <v>26</v>
      </c>
    </row>
    <row r="128" spans="1:20" ht="15" customHeight="1" x14ac:dyDescent="0.3">
      <c r="A128" s="3" t="s">
        <v>549</v>
      </c>
      <c r="B128" s="3" t="s">
        <v>528</v>
      </c>
      <c r="C128" s="3" t="s">
        <v>12</v>
      </c>
      <c r="D128" s="3" t="s">
        <v>85</v>
      </c>
      <c r="E128" s="3" t="s">
        <v>550</v>
      </c>
      <c r="F128" s="3" t="s">
        <v>63</v>
      </c>
      <c r="G128" s="3" t="s">
        <v>189</v>
      </c>
      <c r="H128" s="3" t="s">
        <v>18</v>
      </c>
      <c r="I128" s="3">
        <v>100</v>
      </c>
      <c r="J128" s="3" t="s">
        <v>129</v>
      </c>
      <c r="K128" s="3" t="s">
        <v>3</v>
      </c>
      <c r="L128" s="3" t="s">
        <v>90</v>
      </c>
      <c r="M128" s="4">
        <v>72900</v>
      </c>
      <c r="N128" s="5">
        <v>10.3</v>
      </c>
      <c r="O128" s="4">
        <f t="shared" si="2"/>
        <v>7508.7</v>
      </c>
      <c r="P128" s="4">
        <f t="shared" si="3"/>
        <v>65391.3</v>
      </c>
      <c r="Q128" s="3" t="s">
        <v>36</v>
      </c>
      <c r="R128" s="3" t="s">
        <v>68</v>
      </c>
      <c r="S128" s="3" t="s">
        <v>67</v>
      </c>
      <c r="T128" s="3" t="s">
        <v>32</v>
      </c>
    </row>
    <row r="129" spans="1:20" ht="15" customHeight="1" x14ac:dyDescent="0.3">
      <c r="A129" s="3" t="s">
        <v>551</v>
      </c>
      <c r="B129" s="3" t="s">
        <v>501</v>
      </c>
      <c r="C129" s="3" t="s">
        <v>12</v>
      </c>
      <c r="D129" s="3" t="s">
        <v>552</v>
      </c>
      <c r="E129" s="3" t="s">
        <v>553</v>
      </c>
      <c r="F129" s="3" t="s">
        <v>87</v>
      </c>
      <c r="G129" s="3" t="s">
        <v>324</v>
      </c>
      <c r="H129" s="3" t="s">
        <v>19</v>
      </c>
      <c r="I129" s="3">
        <v>149</v>
      </c>
      <c r="J129" s="3" t="s">
        <v>164</v>
      </c>
      <c r="K129" s="3" t="s">
        <v>11</v>
      </c>
      <c r="L129" s="3" t="s">
        <v>82</v>
      </c>
      <c r="M129" s="4">
        <v>119900</v>
      </c>
      <c r="N129" s="5">
        <v>13.4</v>
      </c>
      <c r="O129" s="4">
        <f t="shared" si="2"/>
        <v>16066.6</v>
      </c>
      <c r="P129" s="4">
        <f t="shared" si="3"/>
        <v>103833.4</v>
      </c>
      <c r="Q129" s="3" t="s">
        <v>25</v>
      </c>
      <c r="R129" s="3" t="s">
        <v>67</v>
      </c>
      <c r="S129" s="3" t="s">
        <v>68</v>
      </c>
      <c r="T129" s="3" t="s">
        <v>26</v>
      </c>
    </row>
    <row r="130" spans="1:20" ht="15" customHeight="1" x14ac:dyDescent="0.3">
      <c r="A130" s="3" t="s">
        <v>554</v>
      </c>
      <c r="B130" s="3" t="s">
        <v>60</v>
      </c>
      <c r="C130" s="3" t="s">
        <v>10</v>
      </c>
      <c r="D130" s="3" t="s">
        <v>555</v>
      </c>
      <c r="E130" s="3" t="s">
        <v>556</v>
      </c>
      <c r="F130" s="3" t="s">
        <v>174</v>
      </c>
      <c r="G130" s="3" t="s">
        <v>324</v>
      </c>
      <c r="H130" s="3" t="s">
        <v>19</v>
      </c>
      <c r="I130" s="3">
        <v>149</v>
      </c>
      <c r="J130" s="3" t="s">
        <v>89</v>
      </c>
      <c r="K130" s="3" t="s">
        <v>1</v>
      </c>
      <c r="L130" s="3" t="s">
        <v>103</v>
      </c>
      <c r="M130" s="4">
        <v>119900</v>
      </c>
      <c r="N130" s="5">
        <v>3.2</v>
      </c>
      <c r="O130" s="4">
        <f t="shared" ref="O130:O193" si="4">M130*N130/100</f>
        <v>3836.8</v>
      </c>
      <c r="P130" s="4">
        <f t="shared" ref="P130:P193" si="5">M130-O130</f>
        <v>116063.2</v>
      </c>
      <c r="Q130" s="3" t="s">
        <v>36</v>
      </c>
      <c r="R130" s="3" t="s">
        <v>68</v>
      </c>
      <c r="S130" s="3" t="s">
        <v>68</v>
      </c>
      <c r="T130" s="3" t="s">
        <v>32</v>
      </c>
    </row>
    <row r="131" spans="1:20" ht="15" customHeight="1" x14ac:dyDescent="0.3">
      <c r="A131" s="3" t="s">
        <v>557</v>
      </c>
      <c r="B131" s="3" t="s">
        <v>334</v>
      </c>
      <c r="C131" s="3" t="s">
        <v>0</v>
      </c>
      <c r="D131" s="3" t="s">
        <v>558</v>
      </c>
      <c r="E131" s="3" t="s">
        <v>559</v>
      </c>
      <c r="F131" s="3" t="s">
        <v>87</v>
      </c>
      <c r="G131" s="3" t="s">
        <v>316</v>
      </c>
      <c r="H131" s="3" t="s">
        <v>19</v>
      </c>
      <c r="I131" s="3">
        <v>150</v>
      </c>
      <c r="J131" s="3" t="s">
        <v>129</v>
      </c>
      <c r="K131" s="3" t="s">
        <v>11</v>
      </c>
      <c r="L131" s="3" t="s">
        <v>74</v>
      </c>
      <c r="M131" s="4">
        <v>109900</v>
      </c>
      <c r="N131" s="5">
        <v>10.1</v>
      </c>
      <c r="O131" s="4">
        <f t="shared" si="4"/>
        <v>11099.9</v>
      </c>
      <c r="P131" s="4">
        <f t="shared" si="5"/>
        <v>98800.1</v>
      </c>
      <c r="Q131" s="3" t="s">
        <v>36</v>
      </c>
      <c r="R131" s="3" t="s">
        <v>67</v>
      </c>
      <c r="S131" s="3" t="s">
        <v>68</v>
      </c>
      <c r="T131" s="3" t="s">
        <v>29</v>
      </c>
    </row>
    <row r="132" spans="1:20" ht="15" customHeight="1" x14ac:dyDescent="0.3">
      <c r="A132" s="3" t="s">
        <v>560</v>
      </c>
      <c r="B132" s="3" t="s">
        <v>402</v>
      </c>
      <c r="C132" s="3" t="s">
        <v>2</v>
      </c>
      <c r="D132" s="3" t="s">
        <v>561</v>
      </c>
      <c r="E132" s="3" t="s">
        <v>562</v>
      </c>
      <c r="F132" s="3" t="s">
        <v>155</v>
      </c>
      <c r="G132" s="3" t="s">
        <v>201</v>
      </c>
      <c r="H132" s="3" t="s">
        <v>19</v>
      </c>
      <c r="I132" s="3">
        <v>160</v>
      </c>
      <c r="J132" s="3" t="s">
        <v>129</v>
      </c>
      <c r="K132" s="3" t="s">
        <v>1</v>
      </c>
      <c r="L132" s="3" t="s">
        <v>97</v>
      </c>
      <c r="M132" s="4">
        <v>129900</v>
      </c>
      <c r="N132" s="5">
        <v>14.8</v>
      </c>
      <c r="O132" s="4">
        <f t="shared" si="4"/>
        <v>19225.2</v>
      </c>
      <c r="P132" s="4">
        <f t="shared" si="5"/>
        <v>110674.8</v>
      </c>
      <c r="Q132" s="3" t="s">
        <v>28</v>
      </c>
      <c r="R132" s="3" t="s">
        <v>68</v>
      </c>
      <c r="S132" s="3" t="s">
        <v>68</v>
      </c>
      <c r="T132" s="3" t="s">
        <v>26</v>
      </c>
    </row>
    <row r="133" spans="1:20" ht="15" customHeight="1" x14ac:dyDescent="0.3">
      <c r="A133" s="3" t="s">
        <v>563</v>
      </c>
      <c r="B133" s="3" t="s">
        <v>564</v>
      </c>
      <c r="C133" s="3" t="s">
        <v>13</v>
      </c>
      <c r="D133" s="3" t="s">
        <v>297</v>
      </c>
      <c r="E133" s="3" t="s">
        <v>565</v>
      </c>
      <c r="F133" s="3" t="s">
        <v>112</v>
      </c>
      <c r="G133" s="3" t="s">
        <v>184</v>
      </c>
      <c r="H133" s="3" t="s">
        <v>18</v>
      </c>
      <c r="I133" s="3">
        <v>125</v>
      </c>
      <c r="J133" s="3" t="s">
        <v>102</v>
      </c>
      <c r="K133" s="3" t="s">
        <v>11</v>
      </c>
      <c r="L133" s="3" t="s">
        <v>82</v>
      </c>
      <c r="M133" s="4">
        <v>79900</v>
      </c>
      <c r="N133" s="5">
        <v>11.8</v>
      </c>
      <c r="O133" s="4">
        <f t="shared" si="4"/>
        <v>9428.2000000000007</v>
      </c>
      <c r="P133" s="4">
        <f t="shared" si="5"/>
        <v>70471.8</v>
      </c>
      <c r="Q133" s="3" t="s">
        <v>36</v>
      </c>
      <c r="R133" s="3" t="s">
        <v>68</v>
      </c>
      <c r="S133" s="3" t="s">
        <v>68</v>
      </c>
      <c r="T133" s="3" t="s">
        <v>26</v>
      </c>
    </row>
    <row r="134" spans="1:20" ht="15" customHeight="1" x14ac:dyDescent="0.3">
      <c r="A134" s="3" t="s">
        <v>566</v>
      </c>
      <c r="B134" s="3" t="s">
        <v>253</v>
      </c>
      <c r="C134" s="3" t="s">
        <v>17</v>
      </c>
      <c r="D134" s="3" t="s">
        <v>567</v>
      </c>
      <c r="E134" s="3" t="s">
        <v>568</v>
      </c>
      <c r="F134" s="3" t="s">
        <v>155</v>
      </c>
      <c r="G134" s="3" t="s">
        <v>189</v>
      </c>
      <c r="H134" s="3" t="s">
        <v>18</v>
      </c>
      <c r="I134" s="3">
        <v>100</v>
      </c>
      <c r="J134" s="3" t="s">
        <v>129</v>
      </c>
      <c r="K134" s="3" t="s">
        <v>1</v>
      </c>
      <c r="L134" s="3" t="s">
        <v>97</v>
      </c>
      <c r="M134" s="4">
        <v>72900</v>
      </c>
      <c r="N134" s="5">
        <v>7.7</v>
      </c>
      <c r="O134" s="4">
        <f t="shared" si="4"/>
        <v>5613.3</v>
      </c>
      <c r="P134" s="4">
        <f t="shared" si="5"/>
        <v>67286.7</v>
      </c>
      <c r="Q134" s="3" t="s">
        <v>28</v>
      </c>
      <c r="R134" s="3" t="s">
        <v>67</v>
      </c>
      <c r="S134" s="3" t="s">
        <v>67</v>
      </c>
      <c r="T134" s="3" t="s">
        <v>32</v>
      </c>
    </row>
    <row r="135" spans="1:20" ht="15" customHeight="1" x14ac:dyDescent="0.3">
      <c r="A135" s="3" t="s">
        <v>569</v>
      </c>
      <c r="B135" s="3" t="s">
        <v>564</v>
      </c>
      <c r="C135" s="3" t="s">
        <v>13</v>
      </c>
      <c r="D135" s="3" t="s">
        <v>570</v>
      </c>
      <c r="E135" s="3" t="s">
        <v>571</v>
      </c>
      <c r="F135" s="3" t="s">
        <v>87</v>
      </c>
      <c r="G135" s="3" t="s">
        <v>324</v>
      </c>
      <c r="H135" s="3" t="s">
        <v>19</v>
      </c>
      <c r="I135" s="3">
        <v>149</v>
      </c>
      <c r="J135" s="3" t="s">
        <v>179</v>
      </c>
      <c r="K135" s="3" t="s">
        <v>1</v>
      </c>
      <c r="L135" s="3" t="s">
        <v>103</v>
      </c>
      <c r="M135" s="4">
        <v>119900</v>
      </c>
      <c r="N135" s="5">
        <v>14.4</v>
      </c>
      <c r="O135" s="4">
        <f t="shared" si="4"/>
        <v>17265.599999999999</v>
      </c>
      <c r="P135" s="4">
        <f t="shared" si="5"/>
        <v>102634.4</v>
      </c>
      <c r="Q135" s="3" t="s">
        <v>34</v>
      </c>
      <c r="R135" s="3" t="s">
        <v>67</v>
      </c>
      <c r="S135" s="3" t="s">
        <v>67</v>
      </c>
      <c r="T135" s="3" t="s">
        <v>29</v>
      </c>
    </row>
    <row r="136" spans="1:20" ht="15" customHeight="1" x14ac:dyDescent="0.3">
      <c r="A136" s="3" t="s">
        <v>572</v>
      </c>
      <c r="B136" s="3" t="s">
        <v>573</v>
      </c>
      <c r="C136" s="3" t="s">
        <v>12</v>
      </c>
      <c r="D136" s="3" t="s">
        <v>297</v>
      </c>
      <c r="E136" s="3" t="s">
        <v>574</v>
      </c>
      <c r="F136" s="3" t="s">
        <v>174</v>
      </c>
      <c r="G136" s="3" t="s">
        <v>184</v>
      </c>
      <c r="H136" s="3" t="s">
        <v>18</v>
      </c>
      <c r="I136" s="3">
        <v>125</v>
      </c>
      <c r="J136" s="3" t="s">
        <v>65</v>
      </c>
      <c r="K136" s="3" t="s">
        <v>11</v>
      </c>
      <c r="L136" s="3" t="s">
        <v>103</v>
      </c>
      <c r="M136" s="4">
        <v>79900</v>
      </c>
      <c r="N136" s="5">
        <v>13.4</v>
      </c>
      <c r="O136" s="4">
        <f t="shared" si="4"/>
        <v>10706.6</v>
      </c>
      <c r="P136" s="4">
        <f t="shared" si="5"/>
        <v>69193.399999999994</v>
      </c>
      <c r="Q136" s="3" t="s">
        <v>40</v>
      </c>
      <c r="R136" s="3" t="s">
        <v>68</v>
      </c>
      <c r="S136" s="3" t="s">
        <v>68</v>
      </c>
      <c r="T136" s="3" t="s">
        <v>32</v>
      </c>
    </row>
    <row r="137" spans="1:20" ht="15" customHeight="1" x14ac:dyDescent="0.3">
      <c r="A137" s="3" t="s">
        <v>575</v>
      </c>
      <c r="B137" s="3" t="s">
        <v>489</v>
      </c>
      <c r="C137" s="3" t="s">
        <v>8</v>
      </c>
      <c r="D137" s="3" t="s">
        <v>576</v>
      </c>
      <c r="E137" s="3" t="s">
        <v>577</v>
      </c>
      <c r="F137" s="3" t="s">
        <v>124</v>
      </c>
      <c r="G137" s="3" t="s">
        <v>73</v>
      </c>
      <c r="H137" s="3" t="s">
        <v>21</v>
      </c>
      <c r="I137" s="3">
        <v>110</v>
      </c>
      <c r="J137" s="3" t="s">
        <v>96</v>
      </c>
      <c r="K137" s="3" t="s">
        <v>5</v>
      </c>
      <c r="L137" s="3" t="s">
        <v>136</v>
      </c>
      <c r="M137" s="4">
        <v>79900</v>
      </c>
      <c r="N137" s="5">
        <v>6.9</v>
      </c>
      <c r="O137" s="4">
        <f t="shared" si="4"/>
        <v>5513.1</v>
      </c>
      <c r="P137" s="4">
        <f t="shared" si="5"/>
        <v>74386.899999999994</v>
      </c>
      <c r="Q137" s="3" t="s">
        <v>36</v>
      </c>
      <c r="R137" s="3" t="s">
        <v>67</v>
      </c>
      <c r="S137" s="3" t="s">
        <v>68</v>
      </c>
      <c r="T137" s="3" t="s">
        <v>26</v>
      </c>
    </row>
    <row r="138" spans="1:20" ht="15" customHeight="1" x14ac:dyDescent="0.3">
      <c r="A138" s="3" t="s">
        <v>578</v>
      </c>
      <c r="B138" s="3" t="s">
        <v>579</v>
      </c>
      <c r="C138" s="3" t="s">
        <v>0</v>
      </c>
      <c r="D138" s="3" t="s">
        <v>167</v>
      </c>
      <c r="E138" s="3" t="s">
        <v>580</v>
      </c>
      <c r="F138" s="3" t="s">
        <v>134</v>
      </c>
      <c r="G138" s="3" t="s">
        <v>169</v>
      </c>
      <c r="H138" s="3" t="s">
        <v>18</v>
      </c>
      <c r="I138" s="3">
        <v>162</v>
      </c>
      <c r="J138" s="3" t="s">
        <v>102</v>
      </c>
      <c r="K138" s="3" t="s">
        <v>9</v>
      </c>
      <c r="L138" s="3" t="s">
        <v>97</v>
      </c>
      <c r="M138" s="4">
        <v>124900</v>
      </c>
      <c r="N138" s="5">
        <v>9.5</v>
      </c>
      <c r="O138" s="4">
        <f t="shared" si="4"/>
        <v>11865.5</v>
      </c>
      <c r="P138" s="4">
        <f t="shared" si="5"/>
        <v>113034.5</v>
      </c>
      <c r="Q138" s="3" t="s">
        <v>40</v>
      </c>
      <c r="R138" s="3" t="s">
        <v>67</v>
      </c>
      <c r="S138" s="3" t="s">
        <v>68</v>
      </c>
      <c r="T138" s="3" t="s">
        <v>26</v>
      </c>
    </row>
    <row r="139" spans="1:20" ht="15" customHeight="1" x14ac:dyDescent="0.3">
      <c r="A139" s="3" t="s">
        <v>581</v>
      </c>
      <c r="B139" s="3" t="s">
        <v>410</v>
      </c>
      <c r="C139" s="3" t="s">
        <v>17</v>
      </c>
      <c r="D139" s="3" t="s">
        <v>582</v>
      </c>
      <c r="E139" s="3" t="s">
        <v>583</v>
      </c>
      <c r="F139" s="3" t="s">
        <v>124</v>
      </c>
      <c r="G139" s="3" t="s">
        <v>222</v>
      </c>
      <c r="H139" s="3" t="s">
        <v>19</v>
      </c>
      <c r="I139" s="3">
        <v>155</v>
      </c>
      <c r="J139" s="3" t="s">
        <v>119</v>
      </c>
      <c r="K139" s="3" t="s">
        <v>5</v>
      </c>
      <c r="L139" s="3" t="s">
        <v>136</v>
      </c>
      <c r="M139" s="4">
        <v>167900</v>
      </c>
      <c r="N139" s="5">
        <v>12.5</v>
      </c>
      <c r="O139" s="4">
        <f t="shared" si="4"/>
        <v>20987.5</v>
      </c>
      <c r="P139" s="4">
        <f t="shared" si="5"/>
        <v>146912.5</v>
      </c>
      <c r="Q139" s="3" t="s">
        <v>36</v>
      </c>
      <c r="R139" s="3" t="s">
        <v>67</v>
      </c>
      <c r="S139" s="3" t="s">
        <v>67</v>
      </c>
      <c r="T139" s="3" t="s">
        <v>26</v>
      </c>
    </row>
    <row r="140" spans="1:20" ht="15" customHeight="1" x14ac:dyDescent="0.3">
      <c r="A140" s="3" t="s">
        <v>584</v>
      </c>
      <c r="B140" s="3" t="s">
        <v>158</v>
      </c>
      <c r="C140" s="3" t="s">
        <v>10</v>
      </c>
      <c r="D140" s="3" t="s">
        <v>585</v>
      </c>
      <c r="E140" s="3" t="s">
        <v>586</v>
      </c>
      <c r="F140" s="3" t="s">
        <v>174</v>
      </c>
      <c r="G140" s="3" t="s">
        <v>146</v>
      </c>
      <c r="H140" s="3" t="s">
        <v>18</v>
      </c>
      <c r="I140" s="3">
        <v>110</v>
      </c>
      <c r="J140" s="3" t="s">
        <v>102</v>
      </c>
      <c r="K140" s="3" t="s">
        <v>7</v>
      </c>
      <c r="L140" s="3" t="s">
        <v>66</v>
      </c>
      <c r="M140" s="4">
        <v>74900</v>
      </c>
      <c r="N140" s="5">
        <v>5.3</v>
      </c>
      <c r="O140" s="4">
        <f t="shared" si="4"/>
        <v>3969.7</v>
      </c>
      <c r="P140" s="4">
        <f t="shared" si="5"/>
        <v>70930.3</v>
      </c>
      <c r="Q140" s="3" t="s">
        <v>40</v>
      </c>
      <c r="R140" s="3" t="s">
        <v>67</v>
      </c>
      <c r="S140" s="3" t="s">
        <v>68</v>
      </c>
      <c r="T140" s="3" t="s">
        <v>26</v>
      </c>
    </row>
    <row r="141" spans="1:20" ht="15" customHeight="1" x14ac:dyDescent="0.3">
      <c r="A141" s="3" t="s">
        <v>587</v>
      </c>
      <c r="B141" s="3" t="s">
        <v>448</v>
      </c>
      <c r="C141" s="3" t="s">
        <v>17</v>
      </c>
      <c r="D141" s="3" t="s">
        <v>588</v>
      </c>
      <c r="E141" s="3" t="s">
        <v>589</v>
      </c>
      <c r="F141" s="3" t="s">
        <v>124</v>
      </c>
      <c r="G141" s="3" t="s">
        <v>146</v>
      </c>
      <c r="H141" s="3" t="s">
        <v>18</v>
      </c>
      <c r="I141" s="3">
        <v>110</v>
      </c>
      <c r="J141" s="3" t="s">
        <v>179</v>
      </c>
      <c r="K141" s="3" t="s">
        <v>3</v>
      </c>
      <c r="L141" s="3" t="s">
        <v>136</v>
      </c>
      <c r="M141" s="4">
        <v>74900</v>
      </c>
      <c r="N141" s="5">
        <v>14.1</v>
      </c>
      <c r="O141" s="4">
        <f t="shared" si="4"/>
        <v>10560.9</v>
      </c>
      <c r="P141" s="4">
        <f t="shared" si="5"/>
        <v>64339.1</v>
      </c>
      <c r="Q141" s="3" t="s">
        <v>31</v>
      </c>
      <c r="R141" s="3" t="s">
        <v>67</v>
      </c>
      <c r="S141" s="3" t="s">
        <v>68</v>
      </c>
      <c r="T141" s="3" t="s">
        <v>26</v>
      </c>
    </row>
    <row r="142" spans="1:20" ht="15" customHeight="1" x14ac:dyDescent="0.3">
      <c r="A142" s="3" t="s">
        <v>590</v>
      </c>
      <c r="B142" s="3" t="s">
        <v>293</v>
      </c>
      <c r="C142" s="3" t="s">
        <v>16</v>
      </c>
      <c r="D142" s="3" t="s">
        <v>591</v>
      </c>
      <c r="E142" s="3" t="s">
        <v>592</v>
      </c>
      <c r="F142" s="3" t="s">
        <v>155</v>
      </c>
      <c r="G142" s="3" t="s">
        <v>64</v>
      </c>
      <c r="H142" s="3" t="s">
        <v>19</v>
      </c>
      <c r="I142" s="3">
        <v>200</v>
      </c>
      <c r="J142" s="3" t="s">
        <v>243</v>
      </c>
      <c r="K142" s="3" t="s">
        <v>9</v>
      </c>
      <c r="L142" s="3" t="s">
        <v>136</v>
      </c>
      <c r="M142" s="4">
        <v>199900</v>
      </c>
      <c r="N142" s="5">
        <v>4.0999999999999996</v>
      </c>
      <c r="O142" s="4">
        <f t="shared" si="4"/>
        <v>8195.9</v>
      </c>
      <c r="P142" s="4">
        <f t="shared" si="5"/>
        <v>191704.1</v>
      </c>
      <c r="Q142" s="3" t="s">
        <v>36</v>
      </c>
      <c r="R142" s="3" t="s">
        <v>67</v>
      </c>
      <c r="S142" s="3" t="s">
        <v>67</v>
      </c>
      <c r="T142" s="3" t="s">
        <v>29</v>
      </c>
    </row>
    <row r="143" spans="1:20" ht="15" customHeight="1" x14ac:dyDescent="0.3">
      <c r="A143" s="3" t="s">
        <v>593</v>
      </c>
      <c r="B143" s="3" t="s">
        <v>594</v>
      </c>
      <c r="C143" s="3" t="s">
        <v>15</v>
      </c>
      <c r="D143" s="3" t="s">
        <v>510</v>
      </c>
      <c r="E143" s="3" t="s">
        <v>595</v>
      </c>
      <c r="F143" s="3" t="s">
        <v>87</v>
      </c>
      <c r="G143" s="3" t="s">
        <v>211</v>
      </c>
      <c r="H143" s="3" t="s">
        <v>20</v>
      </c>
      <c r="I143" s="3">
        <v>350</v>
      </c>
      <c r="J143" s="3" t="s">
        <v>243</v>
      </c>
      <c r="K143" s="3" t="s">
        <v>1</v>
      </c>
      <c r="L143" s="3" t="s">
        <v>103</v>
      </c>
      <c r="M143" s="4">
        <v>199900</v>
      </c>
      <c r="N143" s="5">
        <v>5.4</v>
      </c>
      <c r="O143" s="4">
        <f t="shared" si="4"/>
        <v>10794.6</v>
      </c>
      <c r="P143" s="4">
        <f t="shared" si="5"/>
        <v>189105.4</v>
      </c>
      <c r="Q143" s="3" t="s">
        <v>25</v>
      </c>
      <c r="R143" s="3" t="s">
        <v>67</v>
      </c>
      <c r="S143" s="3" t="s">
        <v>68</v>
      </c>
      <c r="T143" s="3" t="s">
        <v>26</v>
      </c>
    </row>
    <row r="144" spans="1:20" ht="15" customHeight="1" x14ac:dyDescent="0.3">
      <c r="A144" s="3" t="s">
        <v>596</v>
      </c>
      <c r="B144" s="3" t="s">
        <v>437</v>
      </c>
      <c r="C144" s="3" t="s">
        <v>0</v>
      </c>
      <c r="D144" s="3" t="s">
        <v>597</v>
      </c>
      <c r="E144" s="3" t="s">
        <v>598</v>
      </c>
      <c r="F144" s="3" t="s">
        <v>87</v>
      </c>
      <c r="G144" s="3" t="s">
        <v>316</v>
      </c>
      <c r="H144" s="3" t="s">
        <v>19</v>
      </c>
      <c r="I144" s="3">
        <v>150</v>
      </c>
      <c r="J144" s="3" t="s">
        <v>65</v>
      </c>
      <c r="K144" s="3" t="s">
        <v>11</v>
      </c>
      <c r="L144" s="3" t="s">
        <v>74</v>
      </c>
      <c r="M144" s="4">
        <v>109900</v>
      </c>
      <c r="N144" s="5">
        <v>14.1</v>
      </c>
      <c r="O144" s="4">
        <f t="shared" si="4"/>
        <v>15495.9</v>
      </c>
      <c r="P144" s="4">
        <f t="shared" si="5"/>
        <v>94404.1</v>
      </c>
      <c r="Q144" s="3" t="s">
        <v>36</v>
      </c>
      <c r="R144" s="3" t="s">
        <v>68</v>
      </c>
      <c r="S144" s="3" t="s">
        <v>68</v>
      </c>
      <c r="T144" s="3" t="s">
        <v>26</v>
      </c>
    </row>
    <row r="145" spans="1:20" ht="15" customHeight="1" x14ac:dyDescent="0.3">
      <c r="A145" s="3" t="s">
        <v>599</v>
      </c>
      <c r="B145" s="3" t="s">
        <v>600</v>
      </c>
      <c r="C145" s="3" t="s">
        <v>6</v>
      </c>
      <c r="D145" s="3" t="s">
        <v>601</v>
      </c>
      <c r="E145" s="3" t="s">
        <v>602</v>
      </c>
      <c r="F145" s="3" t="s">
        <v>112</v>
      </c>
      <c r="G145" s="3" t="s">
        <v>64</v>
      </c>
      <c r="H145" s="3" t="s">
        <v>19</v>
      </c>
      <c r="I145" s="3">
        <v>200</v>
      </c>
      <c r="J145" s="3" t="s">
        <v>119</v>
      </c>
      <c r="K145" s="3" t="s">
        <v>11</v>
      </c>
      <c r="L145" s="3" t="s">
        <v>66</v>
      </c>
      <c r="M145" s="4">
        <v>199900</v>
      </c>
      <c r="N145" s="5">
        <v>5.0999999999999996</v>
      </c>
      <c r="O145" s="4">
        <f t="shared" si="4"/>
        <v>10194.9</v>
      </c>
      <c r="P145" s="4">
        <f t="shared" si="5"/>
        <v>189705.1</v>
      </c>
      <c r="Q145" s="3" t="s">
        <v>36</v>
      </c>
      <c r="R145" s="3" t="s">
        <v>67</v>
      </c>
      <c r="S145" s="3" t="s">
        <v>68</v>
      </c>
      <c r="T145" s="3" t="s">
        <v>26</v>
      </c>
    </row>
    <row r="146" spans="1:20" ht="15" customHeight="1" x14ac:dyDescent="0.3">
      <c r="A146" s="3" t="s">
        <v>603</v>
      </c>
      <c r="B146" s="3" t="s">
        <v>437</v>
      </c>
      <c r="C146" s="3" t="s">
        <v>0</v>
      </c>
      <c r="D146" s="3" t="s">
        <v>604</v>
      </c>
      <c r="E146" s="3" t="s">
        <v>605</v>
      </c>
      <c r="F146" s="3" t="s">
        <v>87</v>
      </c>
      <c r="G146" s="3" t="s">
        <v>184</v>
      </c>
      <c r="H146" s="3" t="s">
        <v>18</v>
      </c>
      <c r="I146" s="3">
        <v>125</v>
      </c>
      <c r="J146" s="3" t="s">
        <v>164</v>
      </c>
      <c r="K146" s="3" t="s">
        <v>3</v>
      </c>
      <c r="L146" s="3" t="s">
        <v>103</v>
      </c>
      <c r="M146" s="4">
        <v>79900</v>
      </c>
      <c r="N146" s="5">
        <v>12.1</v>
      </c>
      <c r="O146" s="4">
        <f t="shared" si="4"/>
        <v>9667.9</v>
      </c>
      <c r="P146" s="4">
        <f t="shared" si="5"/>
        <v>70232.100000000006</v>
      </c>
      <c r="Q146" s="3" t="s">
        <v>31</v>
      </c>
      <c r="R146" s="3" t="s">
        <v>67</v>
      </c>
      <c r="S146" s="3" t="s">
        <v>67</v>
      </c>
      <c r="T146" s="3" t="s">
        <v>26</v>
      </c>
    </row>
    <row r="147" spans="1:20" ht="15" customHeight="1" x14ac:dyDescent="0.3">
      <c r="A147" s="3" t="s">
        <v>606</v>
      </c>
      <c r="B147" s="3" t="s">
        <v>607</v>
      </c>
      <c r="C147" s="3" t="s">
        <v>15</v>
      </c>
      <c r="D147" s="3" t="s">
        <v>608</v>
      </c>
      <c r="E147" s="3" t="s">
        <v>609</v>
      </c>
      <c r="F147" s="3" t="s">
        <v>174</v>
      </c>
      <c r="G147" s="3" t="s">
        <v>118</v>
      </c>
      <c r="H147" s="3" t="s">
        <v>20</v>
      </c>
      <c r="I147" s="3">
        <v>350</v>
      </c>
      <c r="J147" s="3" t="s">
        <v>164</v>
      </c>
      <c r="K147" s="3" t="s">
        <v>5</v>
      </c>
      <c r="L147" s="3" t="s">
        <v>90</v>
      </c>
      <c r="M147" s="4">
        <v>159900</v>
      </c>
      <c r="N147" s="5">
        <v>7.6</v>
      </c>
      <c r="O147" s="4">
        <f t="shared" si="4"/>
        <v>12152.4</v>
      </c>
      <c r="P147" s="4">
        <f t="shared" si="5"/>
        <v>147747.6</v>
      </c>
      <c r="Q147" s="3" t="s">
        <v>38</v>
      </c>
      <c r="R147" s="3" t="s">
        <v>67</v>
      </c>
      <c r="S147" s="3" t="s">
        <v>68</v>
      </c>
      <c r="T147" s="3" t="s">
        <v>26</v>
      </c>
    </row>
    <row r="148" spans="1:20" ht="15" customHeight="1" x14ac:dyDescent="0.3">
      <c r="A148" s="3" t="s">
        <v>610</v>
      </c>
      <c r="B148" s="3" t="s">
        <v>272</v>
      </c>
      <c r="C148" s="3" t="s">
        <v>0</v>
      </c>
      <c r="D148" s="3" t="s">
        <v>611</v>
      </c>
      <c r="E148" s="3" t="s">
        <v>612</v>
      </c>
      <c r="F148" s="3" t="s">
        <v>63</v>
      </c>
      <c r="G148" s="3" t="s">
        <v>64</v>
      </c>
      <c r="H148" s="3" t="s">
        <v>19</v>
      </c>
      <c r="I148" s="3">
        <v>200</v>
      </c>
      <c r="J148" s="3" t="s">
        <v>179</v>
      </c>
      <c r="K148" s="3" t="s">
        <v>7</v>
      </c>
      <c r="L148" s="3" t="s">
        <v>97</v>
      </c>
      <c r="M148" s="4">
        <v>199900</v>
      </c>
      <c r="N148" s="5">
        <v>14.1</v>
      </c>
      <c r="O148" s="4">
        <f t="shared" si="4"/>
        <v>28185.9</v>
      </c>
      <c r="P148" s="4">
        <f t="shared" si="5"/>
        <v>171714.1</v>
      </c>
      <c r="Q148" s="3" t="s">
        <v>25</v>
      </c>
      <c r="R148" s="3" t="s">
        <v>67</v>
      </c>
      <c r="S148" s="3" t="s">
        <v>68</v>
      </c>
      <c r="T148" s="3" t="s">
        <v>26</v>
      </c>
    </row>
    <row r="149" spans="1:20" ht="15" customHeight="1" x14ac:dyDescent="0.3">
      <c r="A149" s="3" t="s">
        <v>613</v>
      </c>
      <c r="B149" s="3" t="s">
        <v>614</v>
      </c>
      <c r="C149" s="3" t="s">
        <v>13</v>
      </c>
      <c r="D149" s="3" t="s">
        <v>615</v>
      </c>
      <c r="E149" s="3" t="s">
        <v>616</v>
      </c>
      <c r="F149" s="3" t="s">
        <v>117</v>
      </c>
      <c r="G149" s="3" t="s">
        <v>211</v>
      </c>
      <c r="H149" s="3" t="s">
        <v>20</v>
      </c>
      <c r="I149" s="3">
        <v>350</v>
      </c>
      <c r="J149" s="3" t="s">
        <v>102</v>
      </c>
      <c r="K149" s="3" t="s">
        <v>3</v>
      </c>
      <c r="L149" s="3" t="s">
        <v>136</v>
      </c>
      <c r="M149" s="4">
        <v>199900</v>
      </c>
      <c r="N149" s="5">
        <v>5.2</v>
      </c>
      <c r="O149" s="4">
        <f t="shared" si="4"/>
        <v>10394.799999999999</v>
      </c>
      <c r="P149" s="4">
        <f t="shared" si="5"/>
        <v>189505.2</v>
      </c>
      <c r="Q149" s="3" t="s">
        <v>34</v>
      </c>
      <c r="R149" s="3" t="s">
        <v>67</v>
      </c>
      <c r="S149" s="3" t="s">
        <v>67</v>
      </c>
      <c r="T149" s="3" t="s">
        <v>26</v>
      </c>
    </row>
    <row r="150" spans="1:20" ht="15" customHeight="1" x14ac:dyDescent="0.3">
      <c r="A150" s="3" t="s">
        <v>617</v>
      </c>
      <c r="B150" s="3" t="s">
        <v>76</v>
      </c>
      <c r="C150" s="3" t="s">
        <v>4</v>
      </c>
      <c r="D150" s="3" t="s">
        <v>618</v>
      </c>
      <c r="E150" s="3" t="s">
        <v>619</v>
      </c>
      <c r="F150" s="3" t="s">
        <v>155</v>
      </c>
      <c r="G150" s="3" t="s">
        <v>156</v>
      </c>
      <c r="H150" s="3" t="s">
        <v>21</v>
      </c>
      <c r="I150" s="3">
        <v>125</v>
      </c>
      <c r="J150" s="3" t="s">
        <v>65</v>
      </c>
      <c r="K150" s="3" t="s">
        <v>5</v>
      </c>
      <c r="L150" s="3" t="s">
        <v>103</v>
      </c>
      <c r="M150" s="4">
        <v>88900</v>
      </c>
      <c r="N150" s="5">
        <v>12.6</v>
      </c>
      <c r="O150" s="4">
        <f t="shared" si="4"/>
        <v>11201.4</v>
      </c>
      <c r="P150" s="4">
        <f t="shared" si="5"/>
        <v>77698.600000000006</v>
      </c>
      <c r="Q150" s="3" t="s">
        <v>31</v>
      </c>
      <c r="R150" s="3" t="s">
        <v>67</v>
      </c>
      <c r="S150" s="3" t="s">
        <v>68</v>
      </c>
      <c r="T150" s="3" t="s">
        <v>26</v>
      </c>
    </row>
    <row r="151" spans="1:20" ht="15" customHeight="1" x14ac:dyDescent="0.3">
      <c r="A151" s="3" t="s">
        <v>620</v>
      </c>
      <c r="B151" s="3" t="s">
        <v>621</v>
      </c>
      <c r="C151" s="3" t="s">
        <v>13</v>
      </c>
      <c r="D151" s="3" t="s">
        <v>622</v>
      </c>
      <c r="E151" s="3" t="s">
        <v>623</v>
      </c>
      <c r="F151" s="3" t="s">
        <v>145</v>
      </c>
      <c r="G151" s="3" t="s">
        <v>88</v>
      </c>
      <c r="H151" s="3" t="s">
        <v>18</v>
      </c>
      <c r="I151" s="3">
        <v>125</v>
      </c>
      <c r="J151" s="3" t="s">
        <v>96</v>
      </c>
      <c r="K151" s="3" t="s">
        <v>5</v>
      </c>
      <c r="L151" s="3" t="s">
        <v>97</v>
      </c>
      <c r="M151" s="4">
        <v>94900</v>
      </c>
      <c r="N151" s="5">
        <v>6.1</v>
      </c>
      <c r="O151" s="4">
        <f t="shared" si="4"/>
        <v>5788.9</v>
      </c>
      <c r="P151" s="4">
        <f t="shared" si="5"/>
        <v>89111.1</v>
      </c>
      <c r="Q151" s="3" t="s">
        <v>31</v>
      </c>
      <c r="R151" s="3" t="s">
        <v>67</v>
      </c>
      <c r="S151" s="3" t="s">
        <v>68</v>
      </c>
      <c r="T151" s="3" t="s">
        <v>29</v>
      </c>
    </row>
    <row r="152" spans="1:20" ht="15" customHeight="1" x14ac:dyDescent="0.3">
      <c r="A152" s="3" t="s">
        <v>624</v>
      </c>
      <c r="B152" s="3" t="s">
        <v>152</v>
      </c>
      <c r="C152" s="3" t="s">
        <v>6</v>
      </c>
      <c r="D152" s="3" t="s">
        <v>625</v>
      </c>
      <c r="E152" s="3" t="s">
        <v>626</v>
      </c>
      <c r="F152" s="3" t="s">
        <v>112</v>
      </c>
      <c r="G152" s="3" t="s">
        <v>184</v>
      </c>
      <c r="H152" s="3" t="s">
        <v>18</v>
      </c>
      <c r="I152" s="3">
        <v>125</v>
      </c>
      <c r="J152" s="3" t="s">
        <v>243</v>
      </c>
      <c r="K152" s="3" t="s">
        <v>3</v>
      </c>
      <c r="L152" s="3" t="s">
        <v>136</v>
      </c>
      <c r="M152" s="4">
        <v>79900</v>
      </c>
      <c r="N152" s="5">
        <v>8.3000000000000007</v>
      </c>
      <c r="O152" s="4">
        <f t="shared" si="4"/>
        <v>6631.7</v>
      </c>
      <c r="P152" s="4">
        <f t="shared" si="5"/>
        <v>73268.3</v>
      </c>
      <c r="Q152" s="3" t="s">
        <v>34</v>
      </c>
      <c r="R152" s="3" t="s">
        <v>67</v>
      </c>
      <c r="S152" s="3" t="s">
        <v>67</v>
      </c>
      <c r="T152" s="3" t="s">
        <v>26</v>
      </c>
    </row>
    <row r="153" spans="1:20" ht="15" customHeight="1" x14ac:dyDescent="0.3">
      <c r="A153" s="3" t="s">
        <v>627</v>
      </c>
      <c r="B153" s="3" t="s">
        <v>224</v>
      </c>
      <c r="C153" s="3" t="s">
        <v>0</v>
      </c>
      <c r="D153" s="3" t="s">
        <v>628</v>
      </c>
      <c r="E153" s="3" t="s">
        <v>629</v>
      </c>
      <c r="F153" s="3" t="s">
        <v>155</v>
      </c>
      <c r="G153" s="3" t="s">
        <v>201</v>
      </c>
      <c r="H153" s="3" t="s">
        <v>19</v>
      </c>
      <c r="I153" s="3">
        <v>160</v>
      </c>
      <c r="J153" s="3" t="s">
        <v>119</v>
      </c>
      <c r="K153" s="3" t="s">
        <v>5</v>
      </c>
      <c r="L153" s="3" t="s">
        <v>82</v>
      </c>
      <c r="M153" s="4">
        <v>129900</v>
      </c>
      <c r="N153" s="5">
        <v>4.7</v>
      </c>
      <c r="O153" s="4">
        <f t="shared" si="4"/>
        <v>6105.3</v>
      </c>
      <c r="P153" s="4">
        <f t="shared" si="5"/>
        <v>123794.7</v>
      </c>
      <c r="Q153" s="3" t="s">
        <v>38</v>
      </c>
      <c r="R153" s="3" t="s">
        <v>67</v>
      </c>
      <c r="S153" s="3" t="s">
        <v>67</v>
      </c>
      <c r="T153" s="3" t="s">
        <v>26</v>
      </c>
    </row>
    <row r="154" spans="1:20" ht="15" customHeight="1" x14ac:dyDescent="0.3">
      <c r="A154" s="3" t="s">
        <v>630</v>
      </c>
      <c r="B154" s="3" t="s">
        <v>92</v>
      </c>
      <c r="C154" s="3" t="s">
        <v>4</v>
      </c>
      <c r="D154" s="3" t="s">
        <v>552</v>
      </c>
      <c r="E154" s="3" t="s">
        <v>631</v>
      </c>
      <c r="F154" s="3" t="s">
        <v>79</v>
      </c>
      <c r="G154" s="3" t="s">
        <v>169</v>
      </c>
      <c r="H154" s="3" t="s">
        <v>18</v>
      </c>
      <c r="I154" s="3">
        <v>162</v>
      </c>
      <c r="J154" s="3" t="s">
        <v>243</v>
      </c>
      <c r="K154" s="3" t="s">
        <v>3</v>
      </c>
      <c r="L154" s="3" t="s">
        <v>66</v>
      </c>
      <c r="M154" s="4">
        <v>124900</v>
      </c>
      <c r="N154" s="5">
        <v>4.5999999999999996</v>
      </c>
      <c r="O154" s="4">
        <f t="shared" si="4"/>
        <v>5745.4</v>
      </c>
      <c r="P154" s="4">
        <f t="shared" si="5"/>
        <v>119154.6</v>
      </c>
      <c r="Q154" s="3" t="s">
        <v>28</v>
      </c>
      <c r="R154" s="3" t="s">
        <v>67</v>
      </c>
      <c r="S154" s="3" t="s">
        <v>67</v>
      </c>
      <c r="T154" s="3" t="s">
        <v>26</v>
      </c>
    </row>
    <row r="155" spans="1:20" ht="15" customHeight="1" x14ac:dyDescent="0.3">
      <c r="A155" s="3" t="s">
        <v>632</v>
      </c>
      <c r="B155" s="3" t="s">
        <v>334</v>
      </c>
      <c r="C155" s="3" t="s">
        <v>0</v>
      </c>
      <c r="D155" s="3" t="s">
        <v>633</v>
      </c>
      <c r="E155" s="3" t="s">
        <v>634</v>
      </c>
      <c r="F155" s="3" t="s">
        <v>134</v>
      </c>
      <c r="G155" s="3" t="s">
        <v>64</v>
      </c>
      <c r="H155" s="3" t="s">
        <v>19</v>
      </c>
      <c r="I155" s="3">
        <v>200</v>
      </c>
      <c r="J155" s="3" t="s">
        <v>102</v>
      </c>
      <c r="K155" s="3" t="s">
        <v>5</v>
      </c>
      <c r="L155" s="3" t="s">
        <v>90</v>
      </c>
      <c r="M155" s="4">
        <v>199900</v>
      </c>
      <c r="N155" s="5">
        <v>4.0999999999999996</v>
      </c>
      <c r="O155" s="4">
        <f t="shared" si="4"/>
        <v>8195.9</v>
      </c>
      <c r="P155" s="4">
        <f t="shared" si="5"/>
        <v>191704.1</v>
      </c>
      <c r="Q155" s="3" t="s">
        <v>40</v>
      </c>
      <c r="R155" s="3" t="s">
        <v>67</v>
      </c>
      <c r="S155" s="3" t="s">
        <v>68</v>
      </c>
      <c r="T155" s="3" t="s">
        <v>26</v>
      </c>
    </row>
    <row r="156" spans="1:20" ht="15" customHeight="1" x14ac:dyDescent="0.3">
      <c r="A156" s="3" t="s">
        <v>635</v>
      </c>
      <c r="B156" s="3" t="s">
        <v>138</v>
      </c>
      <c r="C156" s="3" t="s">
        <v>16</v>
      </c>
      <c r="D156" s="3" t="s">
        <v>636</v>
      </c>
      <c r="E156" s="3" t="s">
        <v>637</v>
      </c>
      <c r="F156" s="3" t="s">
        <v>155</v>
      </c>
      <c r="G156" s="3" t="s">
        <v>324</v>
      </c>
      <c r="H156" s="3" t="s">
        <v>19</v>
      </c>
      <c r="I156" s="3">
        <v>149</v>
      </c>
      <c r="J156" s="3" t="s">
        <v>102</v>
      </c>
      <c r="K156" s="3" t="s">
        <v>9</v>
      </c>
      <c r="L156" s="3" t="s">
        <v>136</v>
      </c>
      <c r="M156" s="4">
        <v>119900</v>
      </c>
      <c r="N156" s="5">
        <v>7.3</v>
      </c>
      <c r="O156" s="4">
        <f t="shared" si="4"/>
        <v>8752.7000000000007</v>
      </c>
      <c r="P156" s="4">
        <f t="shared" si="5"/>
        <v>111147.3</v>
      </c>
      <c r="Q156" s="3" t="s">
        <v>25</v>
      </c>
      <c r="R156" s="3" t="s">
        <v>67</v>
      </c>
      <c r="S156" s="3" t="s">
        <v>67</v>
      </c>
      <c r="T156" s="3" t="s">
        <v>26</v>
      </c>
    </row>
    <row r="157" spans="1:20" ht="15" customHeight="1" x14ac:dyDescent="0.3">
      <c r="A157" s="3" t="s">
        <v>638</v>
      </c>
      <c r="B157" s="3" t="s">
        <v>639</v>
      </c>
      <c r="C157" s="3" t="s">
        <v>10</v>
      </c>
      <c r="D157" s="3" t="s">
        <v>640</v>
      </c>
      <c r="E157" s="3" t="s">
        <v>641</v>
      </c>
      <c r="F157" s="3" t="s">
        <v>174</v>
      </c>
      <c r="G157" s="3" t="s">
        <v>135</v>
      </c>
      <c r="H157" s="3" t="s">
        <v>19</v>
      </c>
      <c r="I157" s="3">
        <v>160</v>
      </c>
      <c r="J157" s="3" t="s">
        <v>96</v>
      </c>
      <c r="K157" s="3" t="s">
        <v>7</v>
      </c>
      <c r="L157" s="3" t="s">
        <v>136</v>
      </c>
      <c r="M157" s="4">
        <v>124900</v>
      </c>
      <c r="N157" s="5">
        <v>9.4</v>
      </c>
      <c r="O157" s="4">
        <f t="shared" si="4"/>
        <v>11740.6</v>
      </c>
      <c r="P157" s="4">
        <f t="shared" si="5"/>
        <v>113159.4</v>
      </c>
      <c r="Q157" s="3" t="s">
        <v>25</v>
      </c>
      <c r="R157" s="3" t="s">
        <v>67</v>
      </c>
      <c r="S157" s="3" t="s">
        <v>68</v>
      </c>
      <c r="T157" s="3" t="s">
        <v>26</v>
      </c>
    </row>
    <row r="158" spans="1:20" ht="15" customHeight="1" x14ac:dyDescent="0.3">
      <c r="A158" s="3" t="s">
        <v>642</v>
      </c>
      <c r="B158" s="3" t="s">
        <v>482</v>
      </c>
      <c r="C158" s="3" t="s">
        <v>6</v>
      </c>
      <c r="D158" s="3" t="s">
        <v>473</v>
      </c>
      <c r="E158" s="3" t="s">
        <v>643</v>
      </c>
      <c r="F158" s="3" t="s">
        <v>134</v>
      </c>
      <c r="G158" s="3" t="s">
        <v>189</v>
      </c>
      <c r="H158" s="3" t="s">
        <v>18</v>
      </c>
      <c r="I158" s="3">
        <v>100</v>
      </c>
      <c r="J158" s="3" t="s">
        <v>129</v>
      </c>
      <c r="K158" s="3" t="s">
        <v>1</v>
      </c>
      <c r="L158" s="3" t="s">
        <v>66</v>
      </c>
      <c r="M158" s="4">
        <v>72900</v>
      </c>
      <c r="N158" s="5">
        <v>6.1</v>
      </c>
      <c r="O158" s="4">
        <f t="shared" si="4"/>
        <v>4446.8999999999996</v>
      </c>
      <c r="P158" s="4">
        <f t="shared" si="5"/>
        <v>68453.100000000006</v>
      </c>
      <c r="Q158" s="3" t="s">
        <v>38</v>
      </c>
      <c r="R158" s="3" t="s">
        <v>67</v>
      </c>
      <c r="S158" s="3" t="s">
        <v>67</v>
      </c>
      <c r="T158" s="3" t="s">
        <v>26</v>
      </c>
    </row>
    <row r="159" spans="1:20" ht="15" customHeight="1" x14ac:dyDescent="0.3">
      <c r="A159" s="3" t="s">
        <v>644</v>
      </c>
      <c r="B159" s="3" t="s">
        <v>105</v>
      </c>
      <c r="C159" s="3" t="s">
        <v>13</v>
      </c>
      <c r="D159" s="3" t="s">
        <v>645</v>
      </c>
      <c r="E159" s="3" t="s">
        <v>646</v>
      </c>
      <c r="F159" s="3" t="s">
        <v>155</v>
      </c>
      <c r="G159" s="3" t="s">
        <v>156</v>
      </c>
      <c r="H159" s="3" t="s">
        <v>21</v>
      </c>
      <c r="I159" s="3">
        <v>125</v>
      </c>
      <c r="J159" s="3" t="s">
        <v>164</v>
      </c>
      <c r="K159" s="3" t="s">
        <v>7</v>
      </c>
      <c r="L159" s="3" t="s">
        <v>90</v>
      </c>
      <c r="M159" s="4">
        <v>88900</v>
      </c>
      <c r="N159" s="5">
        <v>10</v>
      </c>
      <c r="O159" s="4">
        <f t="shared" si="4"/>
        <v>8890</v>
      </c>
      <c r="P159" s="4">
        <f t="shared" si="5"/>
        <v>80010</v>
      </c>
      <c r="Q159" s="3" t="s">
        <v>25</v>
      </c>
      <c r="R159" s="3" t="s">
        <v>67</v>
      </c>
      <c r="S159" s="3" t="s">
        <v>68</v>
      </c>
      <c r="T159" s="3" t="s">
        <v>26</v>
      </c>
    </row>
    <row r="160" spans="1:20" ht="15" customHeight="1" x14ac:dyDescent="0.3">
      <c r="A160" s="3" t="s">
        <v>647</v>
      </c>
      <c r="B160" s="3" t="s">
        <v>501</v>
      </c>
      <c r="C160" s="3" t="s">
        <v>12</v>
      </c>
      <c r="D160" s="3" t="s">
        <v>648</v>
      </c>
      <c r="E160" s="3" t="s">
        <v>649</v>
      </c>
      <c r="F160" s="3" t="s">
        <v>112</v>
      </c>
      <c r="G160" s="3" t="s">
        <v>222</v>
      </c>
      <c r="H160" s="3" t="s">
        <v>19</v>
      </c>
      <c r="I160" s="3">
        <v>155</v>
      </c>
      <c r="J160" s="3" t="s">
        <v>89</v>
      </c>
      <c r="K160" s="3" t="s">
        <v>3</v>
      </c>
      <c r="L160" s="3" t="s">
        <v>136</v>
      </c>
      <c r="M160" s="4">
        <v>167900</v>
      </c>
      <c r="N160" s="5">
        <v>14.3</v>
      </c>
      <c r="O160" s="4">
        <f t="shared" si="4"/>
        <v>24009.7</v>
      </c>
      <c r="P160" s="4">
        <f t="shared" si="5"/>
        <v>143890.29999999999</v>
      </c>
      <c r="Q160" s="3" t="s">
        <v>36</v>
      </c>
      <c r="R160" s="3" t="s">
        <v>67</v>
      </c>
      <c r="S160" s="3" t="s">
        <v>67</v>
      </c>
      <c r="T160" s="3" t="s">
        <v>29</v>
      </c>
    </row>
    <row r="161" spans="1:20" ht="15" customHeight="1" x14ac:dyDescent="0.3">
      <c r="A161" s="3" t="s">
        <v>650</v>
      </c>
      <c r="B161" s="3" t="s">
        <v>414</v>
      </c>
      <c r="C161" s="3" t="s">
        <v>15</v>
      </c>
      <c r="D161" s="3" t="s">
        <v>651</v>
      </c>
      <c r="E161" s="3" t="s">
        <v>652</v>
      </c>
      <c r="F161" s="3" t="s">
        <v>117</v>
      </c>
      <c r="G161" s="3" t="s">
        <v>118</v>
      </c>
      <c r="H161" s="3" t="s">
        <v>20</v>
      </c>
      <c r="I161" s="3">
        <v>350</v>
      </c>
      <c r="J161" s="3" t="s">
        <v>119</v>
      </c>
      <c r="K161" s="3" t="s">
        <v>5</v>
      </c>
      <c r="L161" s="3" t="s">
        <v>74</v>
      </c>
      <c r="M161" s="4">
        <v>159900</v>
      </c>
      <c r="N161" s="5">
        <v>13.1</v>
      </c>
      <c r="O161" s="4">
        <f t="shared" si="4"/>
        <v>20946.900000000001</v>
      </c>
      <c r="P161" s="4">
        <f t="shared" si="5"/>
        <v>138953.1</v>
      </c>
      <c r="Q161" s="3" t="s">
        <v>25</v>
      </c>
      <c r="R161" s="3" t="s">
        <v>67</v>
      </c>
      <c r="S161" s="3" t="s">
        <v>68</v>
      </c>
      <c r="T161" s="3" t="s">
        <v>32</v>
      </c>
    </row>
    <row r="162" spans="1:20" ht="15" customHeight="1" x14ac:dyDescent="0.3">
      <c r="A162" s="3" t="s">
        <v>653</v>
      </c>
      <c r="B162" s="3" t="s">
        <v>293</v>
      </c>
      <c r="C162" s="3" t="s">
        <v>10</v>
      </c>
      <c r="D162" s="3" t="s">
        <v>516</v>
      </c>
      <c r="E162" s="3" t="s">
        <v>654</v>
      </c>
      <c r="F162" s="3" t="s">
        <v>155</v>
      </c>
      <c r="G162" s="3" t="s">
        <v>64</v>
      </c>
      <c r="H162" s="3" t="s">
        <v>19</v>
      </c>
      <c r="I162" s="3">
        <v>200</v>
      </c>
      <c r="J162" s="3" t="s">
        <v>164</v>
      </c>
      <c r="K162" s="3" t="s">
        <v>9</v>
      </c>
      <c r="L162" s="3" t="s">
        <v>82</v>
      </c>
      <c r="M162" s="4">
        <v>199900</v>
      </c>
      <c r="N162" s="5">
        <v>3.8</v>
      </c>
      <c r="O162" s="4">
        <f t="shared" si="4"/>
        <v>7596.2</v>
      </c>
      <c r="P162" s="4">
        <f t="shared" si="5"/>
        <v>192303.8</v>
      </c>
      <c r="Q162" s="3" t="s">
        <v>38</v>
      </c>
      <c r="R162" s="3" t="s">
        <v>67</v>
      </c>
      <c r="S162" s="3" t="s">
        <v>68</v>
      </c>
      <c r="T162" s="3" t="s">
        <v>32</v>
      </c>
    </row>
    <row r="163" spans="1:20" ht="15" customHeight="1" x14ac:dyDescent="0.3">
      <c r="A163" s="3" t="s">
        <v>655</v>
      </c>
      <c r="B163" s="3" t="s">
        <v>326</v>
      </c>
      <c r="C163" s="3" t="s">
        <v>0</v>
      </c>
      <c r="D163" s="3" t="s">
        <v>656</v>
      </c>
      <c r="E163" s="3" t="s">
        <v>657</v>
      </c>
      <c r="F163" s="3" t="s">
        <v>155</v>
      </c>
      <c r="G163" s="3" t="s">
        <v>184</v>
      </c>
      <c r="H163" s="3" t="s">
        <v>18</v>
      </c>
      <c r="I163" s="3">
        <v>125</v>
      </c>
      <c r="J163" s="3" t="s">
        <v>129</v>
      </c>
      <c r="K163" s="3" t="s">
        <v>11</v>
      </c>
      <c r="L163" s="3" t="s">
        <v>206</v>
      </c>
      <c r="M163" s="4">
        <v>79900</v>
      </c>
      <c r="N163" s="5">
        <v>14</v>
      </c>
      <c r="O163" s="4">
        <f t="shared" si="4"/>
        <v>11186</v>
      </c>
      <c r="P163" s="4">
        <f t="shared" si="5"/>
        <v>68714</v>
      </c>
      <c r="Q163" s="3" t="s">
        <v>40</v>
      </c>
      <c r="R163" s="3" t="s">
        <v>67</v>
      </c>
      <c r="S163" s="3" t="s">
        <v>67</v>
      </c>
      <c r="T163" s="3" t="s">
        <v>32</v>
      </c>
    </row>
    <row r="164" spans="1:20" ht="15" customHeight="1" x14ac:dyDescent="0.3">
      <c r="A164" s="3" t="s">
        <v>658</v>
      </c>
      <c r="B164" s="3" t="s">
        <v>334</v>
      </c>
      <c r="C164" s="3" t="s">
        <v>0</v>
      </c>
      <c r="D164" s="3" t="s">
        <v>659</v>
      </c>
      <c r="E164" s="3" t="s">
        <v>660</v>
      </c>
      <c r="F164" s="3" t="s">
        <v>124</v>
      </c>
      <c r="G164" s="3" t="s">
        <v>73</v>
      </c>
      <c r="H164" s="3" t="s">
        <v>21</v>
      </c>
      <c r="I164" s="3">
        <v>110</v>
      </c>
      <c r="J164" s="3" t="s">
        <v>129</v>
      </c>
      <c r="K164" s="3" t="s">
        <v>5</v>
      </c>
      <c r="L164" s="3" t="s">
        <v>97</v>
      </c>
      <c r="M164" s="4">
        <v>79900</v>
      </c>
      <c r="N164" s="5">
        <v>6.7</v>
      </c>
      <c r="O164" s="4">
        <f t="shared" si="4"/>
        <v>5353.3</v>
      </c>
      <c r="P164" s="4">
        <f t="shared" si="5"/>
        <v>74546.7</v>
      </c>
      <c r="Q164" s="3" t="s">
        <v>36</v>
      </c>
      <c r="R164" s="3" t="s">
        <v>67</v>
      </c>
      <c r="S164" s="3" t="s">
        <v>68</v>
      </c>
      <c r="T164" s="3" t="s">
        <v>26</v>
      </c>
    </row>
    <row r="165" spans="1:20" ht="15" customHeight="1" x14ac:dyDescent="0.3">
      <c r="A165" s="3" t="s">
        <v>661</v>
      </c>
      <c r="B165" s="3" t="s">
        <v>493</v>
      </c>
      <c r="C165" s="3" t="s">
        <v>14</v>
      </c>
      <c r="D165" s="3" t="s">
        <v>662</v>
      </c>
      <c r="E165" s="3" t="s">
        <v>663</v>
      </c>
      <c r="F165" s="3" t="s">
        <v>112</v>
      </c>
      <c r="G165" s="3" t="s">
        <v>222</v>
      </c>
      <c r="H165" s="3" t="s">
        <v>19</v>
      </c>
      <c r="I165" s="3">
        <v>155</v>
      </c>
      <c r="J165" s="3" t="s">
        <v>164</v>
      </c>
      <c r="K165" s="3" t="s">
        <v>9</v>
      </c>
      <c r="L165" s="3" t="s">
        <v>82</v>
      </c>
      <c r="M165" s="4">
        <v>167900</v>
      </c>
      <c r="N165" s="5">
        <v>13.6</v>
      </c>
      <c r="O165" s="4">
        <f t="shared" si="4"/>
        <v>22834.400000000001</v>
      </c>
      <c r="P165" s="4">
        <f t="shared" si="5"/>
        <v>145065.60000000001</v>
      </c>
      <c r="Q165" s="3" t="s">
        <v>31</v>
      </c>
      <c r="R165" s="3" t="s">
        <v>67</v>
      </c>
      <c r="S165" s="3" t="s">
        <v>67</v>
      </c>
      <c r="T165" s="3" t="s">
        <v>26</v>
      </c>
    </row>
    <row r="166" spans="1:20" ht="15" customHeight="1" x14ac:dyDescent="0.3">
      <c r="A166" s="3" t="s">
        <v>664</v>
      </c>
      <c r="B166" s="3" t="s">
        <v>600</v>
      </c>
      <c r="C166" s="3" t="s">
        <v>6</v>
      </c>
      <c r="D166" s="3" t="s">
        <v>665</v>
      </c>
      <c r="E166" s="3" t="s">
        <v>666</v>
      </c>
      <c r="F166" s="3" t="s">
        <v>79</v>
      </c>
      <c r="G166" s="3" t="s">
        <v>73</v>
      </c>
      <c r="H166" s="3" t="s">
        <v>21</v>
      </c>
      <c r="I166" s="3">
        <v>110</v>
      </c>
      <c r="J166" s="3" t="s">
        <v>89</v>
      </c>
      <c r="K166" s="3" t="s">
        <v>3</v>
      </c>
      <c r="L166" s="3" t="s">
        <v>103</v>
      </c>
      <c r="M166" s="4">
        <v>79900</v>
      </c>
      <c r="N166" s="5">
        <v>8.5</v>
      </c>
      <c r="O166" s="4">
        <f t="shared" si="4"/>
        <v>6791.5</v>
      </c>
      <c r="P166" s="4">
        <f t="shared" si="5"/>
        <v>73108.5</v>
      </c>
      <c r="Q166" s="3" t="s">
        <v>34</v>
      </c>
      <c r="R166" s="3" t="s">
        <v>67</v>
      </c>
      <c r="S166" s="3" t="s">
        <v>67</v>
      </c>
      <c r="T166" s="3" t="s">
        <v>29</v>
      </c>
    </row>
    <row r="167" spans="1:20" ht="15" customHeight="1" x14ac:dyDescent="0.3">
      <c r="A167" s="3" t="s">
        <v>667</v>
      </c>
      <c r="B167" s="3" t="s">
        <v>213</v>
      </c>
      <c r="C167" s="3" t="s">
        <v>8</v>
      </c>
      <c r="D167" s="3" t="s">
        <v>415</v>
      </c>
      <c r="E167" s="3" t="s">
        <v>668</v>
      </c>
      <c r="F167" s="3" t="s">
        <v>134</v>
      </c>
      <c r="G167" s="3" t="s">
        <v>88</v>
      </c>
      <c r="H167" s="3" t="s">
        <v>18</v>
      </c>
      <c r="I167" s="3">
        <v>125</v>
      </c>
      <c r="J167" s="3" t="s">
        <v>89</v>
      </c>
      <c r="K167" s="3" t="s">
        <v>9</v>
      </c>
      <c r="L167" s="3" t="s">
        <v>74</v>
      </c>
      <c r="M167" s="4">
        <v>94900</v>
      </c>
      <c r="N167" s="5">
        <v>3.1</v>
      </c>
      <c r="O167" s="4">
        <f t="shared" si="4"/>
        <v>2941.9</v>
      </c>
      <c r="P167" s="4">
        <f t="shared" si="5"/>
        <v>91958.1</v>
      </c>
      <c r="Q167" s="3" t="s">
        <v>31</v>
      </c>
      <c r="R167" s="3" t="s">
        <v>67</v>
      </c>
      <c r="S167" s="3" t="s">
        <v>68</v>
      </c>
      <c r="T167" s="3" t="s">
        <v>26</v>
      </c>
    </row>
    <row r="168" spans="1:20" ht="15" customHeight="1" x14ac:dyDescent="0.3">
      <c r="A168" s="3" t="s">
        <v>669</v>
      </c>
      <c r="B168" s="3" t="s">
        <v>234</v>
      </c>
      <c r="C168" s="3" t="s">
        <v>14</v>
      </c>
      <c r="D168" s="3" t="s">
        <v>670</v>
      </c>
      <c r="E168" s="3" t="s">
        <v>671</v>
      </c>
      <c r="F168" s="3" t="s">
        <v>174</v>
      </c>
      <c r="G168" s="3" t="s">
        <v>184</v>
      </c>
      <c r="H168" s="3" t="s">
        <v>18</v>
      </c>
      <c r="I168" s="3">
        <v>125</v>
      </c>
      <c r="J168" s="3" t="s">
        <v>129</v>
      </c>
      <c r="K168" s="3" t="s">
        <v>3</v>
      </c>
      <c r="L168" s="3" t="s">
        <v>97</v>
      </c>
      <c r="M168" s="4">
        <v>79900</v>
      </c>
      <c r="N168" s="5">
        <v>10.3</v>
      </c>
      <c r="O168" s="4">
        <f t="shared" si="4"/>
        <v>8229.7000000000007</v>
      </c>
      <c r="P168" s="4">
        <f t="shared" si="5"/>
        <v>71670.3</v>
      </c>
      <c r="Q168" s="3" t="s">
        <v>25</v>
      </c>
      <c r="R168" s="3" t="s">
        <v>67</v>
      </c>
      <c r="S168" s="3" t="s">
        <v>68</v>
      </c>
      <c r="T168" s="3" t="s">
        <v>26</v>
      </c>
    </row>
    <row r="169" spans="1:20" ht="15" customHeight="1" x14ac:dyDescent="0.3">
      <c r="A169" s="3" t="s">
        <v>672</v>
      </c>
      <c r="B169" s="3" t="s">
        <v>126</v>
      </c>
      <c r="C169" s="3" t="s">
        <v>14</v>
      </c>
      <c r="D169" s="3" t="s">
        <v>673</v>
      </c>
      <c r="E169" s="3" t="s">
        <v>674</v>
      </c>
      <c r="F169" s="3" t="s">
        <v>134</v>
      </c>
      <c r="G169" s="3" t="s">
        <v>73</v>
      </c>
      <c r="H169" s="3" t="s">
        <v>21</v>
      </c>
      <c r="I169" s="3">
        <v>110</v>
      </c>
      <c r="J169" s="3" t="s">
        <v>179</v>
      </c>
      <c r="K169" s="3" t="s">
        <v>7</v>
      </c>
      <c r="L169" s="3" t="s">
        <v>103</v>
      </c>
      <c r="M169" s="4">
        <v>79900</v>
      </c>
      <c r="N169" s="5">
        <v>11</v>
      </c>
      <c r="O169" s="4">
        <f t="shared" si="4"/>
        <v>8789</v>
      </c>
      <c r="P169" s="4">
        <f t="shared" si="5"/>
        <v>71111</v>
      </c>
      <c r="Q169" s="3" t="s">
        <v>36</v>
      </c>
      <c r="R169" s="3" t="s">
        <v>67</v>
      </c>
      <c r="S169" s="3" t="s">
        <v>67</v>
      </c>
      <c r="T169" s="3" t="s">
        <v>26</v>
      </c>
    </row>
    <row r="170" spans="1:20" ht="15" customHeight="1" x14ac:dyDescent="0.3">
      <c r="A170" s="3" t="s">
        <v>675</v>
      </c>
      <c r="B170" s="3" t="s">
        <v>676</v>
      </c>
      <c r="C170" s="3" t="s">
        <v>15</v>
      </c>
      <c r="D170" s="3" t="s">
        <v>677</v>
      </c>
      <c r="E170" s="3" t="s">
        <v>678</v>
      </c>
      <c r="F170" s="3" t="s">
        <v>174</v>
      </c>
      <c r="G170" s="3" t="s">
        <v>211</v>
      </c>
      <c r="H170" s="3" t="s">
        <v>20</v>
      </c>
      <c r="I170" s="3">
        <v>350</v>
      </c>
      <c r="J170" s="3" t="s">
        <v>89</v>
      </c>
      <c r="K170" s="3" t="s">
        <v>1</v>
      </c>
      <c r="L170" s="3" t="s">
        <v>136</v>
      </c>
      <c r="M170" s="4">
        <v>199900</v>
      </c>
      <c r="N170" s="5">
        <v>7.9</v>
      </c>
      <c r="O170" s="4">
        <f t="shared" si="4"/>
        <v>15792.1</v>
      </c>
      <c r="P170" s="4">
        <f t="shared" si="5"/>
        <v>184107.9</v>
      </c>
      <c r="Q170" s="3" t="s">
        <v>36</v>
      </c>
      <c r="R170" s="3" t="s">
        <v>68</v>
      </c>
      <c r="S170" s="3" t="s">
        <v>68</v>
      </c>
      <c r="T170" s="3" t="s">
        <v>29</v>
      </c>
    </row>
    <row r="171" spans="1:20" ht="15" customHeight="1" x14ac:dyDescent="0.3">
      <c r="A171" s="3" t="s">
        <v>679</v>
      </c>
      <c r="B171" s="3" t="s">
        <v>114</v>
      </c>
      <c r="C171" s="3" t="s">
        <v>4</v>
      </c>
      <c r="D171" s="3" t="s">
        <v>680</v>
      </c>
      <c r="E171" s="3" t="s">
        <v>681</v>
      </c>
      <c r="F171" s="3" t="s">
        <v>124</v>
      </c>
      <c r="G171" s="3" t="s">
        <v>222</v>
      </c>
      <c r="H171" s="3" t="s">
        <v>19</v>
      </c>
      <c r="I171" s="3">
        <v>155</v>
      </c>
      <c r="J171" s="3" t="s">
        <v>96</v>
      </c>
      <c r="K171" s="3" t="s">
        <v>5</v>
      </c>
      <c r="L171" s="3" t="s">
        <v>103</v>
      </c>
      <c r="M171" s="4">
        <v>167900</v>
      </c>
      <c r="N171" s="5">
        <v>6.5</v>
      </c>
      <c r="O171" s="4">
        <f t="shared" si="4"/>
        <v>10913.5</v>
      </c>
      <c r="P171" s="4">
        <f t="shared" si="5"/>
        <v>156986.5</v>
      </c>
      <c r="Q171" s="3" t="s">
        <v>36</v>
      </c>
      <c r="R171" s="3" t="s">
        <v>67</v>
      </c>
      <c r="S171" s="3" t="s">
        <v>67</v>
      </c>
      <c r="T171" s="3" t="s">
        <v>32</v>
      </c>
    </row>
    <row r="172" spans="1:20" ht="15" customHeight="1" x14ac:dyDescent="0.3">
      <c r="A172" s="3" t="s">
        <v>682</v>
      </c>
      <c r="B172" s="3" t="s">
        <v>683</v>
      </c>
      <c r="C172" s="3" t="s">
        <v>12</v>
      </c>
      <c r="D172" s="3" t="s">
        <v>684</v>
      </c>
      <c r="E172" s="3" t="s">
        <v>685</v>
      </c>
      <c r="F172" s="3" t="s">
        <v>174</v>
      </c>
      <c r="G172" s="3" t="s">
        <v>324</v>
      </c>
      <c r="H172" s="3" t="s">
        <v>19</v>
      </c>
      <c r="I172" s="3">
        <v>149</v>
      </c>
      <c r="J172" s="3" t="s">
        <v>81</v>
      </c>
      <c r="K172" s="3" t="s">
        <v>5</v>
      </c>
      <c r="L172" s="3" t="s">
        <v>82</v>
      </c>
      <c r="M172" s="4">
        <v>119900</v>
      </c>
      <c r="N172" s="5">
        <v>8.1999999999999993</v>
      </c>
      <c r="O172" s="4">
        <f t="shared" si="4"/>
        <v>9831.7999999999993</v>
      </c>
      <c r="P172" s="4">
        <f t="shared" si="5"/>
        <v>110068.2</v>
      </c>
      <c r="Q172" s="3" t="s">
        <v>25</v>
      </c>
      <c r="R172" s="3" t="s">
        <v>67</v>
      </c>
      <c r="S172" s="3" t="s">
        <v>67</v>
      </c>
      <c r="T172" s="3" t="s">
        <v>26</v>
      </c>
    </row>
    <row r="173" spans="1:20" ht="15" customHeight="1" x14ac:dyDescent="0.3">
      <c r="A173" s="3" t="s">
        <v>686</v>
      </c>
      <c r="B173" s="3" t="s">
        <v>138</v>
      </c>
      <c r="C173" s="3" t="s">
        <v>10</v>
      </c>
      <c r="D173" s="3" t="s">
        <v>687</v>
      </c>
      <c r="E173" s="3" t="s">
        <v>688</v>
      </c>
      <c r="F173" s="3" t="s">
        <v>124</v>
      </c>
      <c r="G173" s="3" t="s">
        <v>189</v>
      </c>
      <c r="H173" s="3" t="s">
        <v>18</v>
      </c>
      <c r="I173" s="3">
        <v>100</v>
      </c>
      <c r="J173" s="3" t="s">
        <v>129</v>
      </c>
      <c r="K173" s="3" t="s">
        <v>1</v>
      </c>
      <c r="L173" s="3" t="s">
        <v>206</v>
      </c>
      <c r="M173" s="4">
        <v>72900</v>
      </c>
      <c r="N173" s="5">
        <v>9.8000000000000007</v>
      </c>
      <c r="O173" s="4">
        <f t="shared" si="4"/>
        <v>7144.2</v>
      </c>
      <c r="P173" s="4">
        <f t="shared" si="5"/>
        <v>65755.8</v>
      </c>
      <c r="Q173" s="3" t="s">
        <v>40</v>
      </c>
      <c r="R173" s="3" t="s">
        <v>67</v>
      </c>
      <c r="S173" s="3" t="s">
        <v>68</v>
      </c>
      <c r="T173" s="3" t="s">
        <v>32</v>
      </c>
    </row>
    <row r="174" spans="1:20" ht="15" customHeight="1" x14ac:dyDescent="0.3">
      <c r="A174" s="3" t="s">
        <v>689</v>
      </c>
      <c r="B174" s="3" t="s">
        <v>148</v>
      </c>
      <c r="C174" s="3" t="s">
        <v>8</v>
      </c>
      <c r="D174" s="3" t="s">
        <v>690</v>
      </c>
      <c r="E174" s="3" t="s">
        <v>691</v>
      </c>
      <c r="F174" s="3" t="s">
        <v>124</v>
      </c>
      <c r="G174" s="3" t="s">
        <v>118</v>
      </c>
      <c r="H174" s="3" t="s">
        <v>20</v>
      </c>
      <c r="I174" s="3">
        <v>350</v>
      </c>
      <c r="J174" s="3" t="s">
        <v>96</v>
      </c>
      <c r="K174" s="3" t="s">
        <v>5</v>
      </c>
      <c r="L174" s="3" t="s">
        <v>136</v>
      </c>
      <c r="M174" s="4">
        <v>159900</v>
      </c>
      <c r="N174" s="5">
        <v>10.1</v>
      </c>
      <c r="O174" s="4">
        <f t="shared" si="4"/>
        <v>16149.9</v>
      </c>
      <c r="P174" s="4">
        <f t="shared" si="5"/>
        <v>143750.1</v>
      </c>
      <c r="Q174" s="3" t="s">
        <v>38</v>
      </c>
      <c r="R174" s="3" t="s">
        <v>67</v>
      </c>
      <c r="S174" s="3" t="s">
        <v>68</v>
      </c>
      <c r="T174" s="3" t="s">
        <v>26</v>
      </c>
    </row>
    <row r="175" spans="1:20" ht="15" customHeight="1" x14ac:dyDescent="0.3">
      <c r="A175" s="3" t="s">
        <v>692</v>
      </c>
      <c r="B175" s="3" t="s">
        <v>70</v>
      </c>
      <c r="C175" s="3" t="s">
        <v>2</v>
      </c>
      <c r="D175" s="3" t="s">
        <v>159</v>
      </c>
      <c r="E175" s="3" t="s">
        <v>693</v>
      </c>
      <c r="F175" s="3" t="s">
        <v>134</v>
      </c>
      <c r="G175" s="3" t="s">
        <v>118</v>
      </c>
      <c r="H175" s="3" t="s">
        <v>20</v>
      </c>
      <c r="I175" s="3">
        <v>350</v>
      </c>
      <c r="J175" s="3" t="s">
        <v>81</v>
      </c>
      <c r="K175" s="3" t="s">
        <v>9</v>
      </c>
      <c r="L175" s="3" t="s">
        <v>82</v>
      </c>
      <c r="M175" s="4">
        <v>159900</v>
      </c>
      <c r="N175" s="5">
        <v>13.6</v>
      </c>
      <c r="O175" s="4">
        <f t="shared" si="4"/>
        <v>21746.400000000001</v>
      </c>
      <c r="P175" s="4">
        <f t="shared" si="5"/>
        <v>138153.60000000001</v>
      </c>
      <c r="Q175" s="3" t="s">
        <v>34</v>
      </c>
      <c r="R175" s="3" t="s">
        <v>67</v>
      </c>
      <c r="S175" s="3" t="s">
        <v>68</v>
      </c>
      <c r="T175" s="3" t="s">
        <v>29</v>
      </c>
    </row>
    <row r="176" spans="1:20" ht="15" customHeight="1" x14ac:dyDescent="0.3">
      <c r="A176" s="3" t="s">
        <v>694</v>
      </c>
      <c r="B176" s="3" t="s">
        <v>384</v>
      </c>
      <c r="C176" s="3" t="s">
        <v>15</v>
      </c>
      <c r="D176" s="3" t="s">
        <v>695</v>
      </c>
      <c r="E176" s="3" t="s">
        <v>696</v>
      </c>
      <c r="F176" s="3" t="s">
        <v>117</v>
      </c>
      <c r="G176" s="3" t="s">
        <v>64</v>
      </c>
      <c r="H176" s="3" t="s">
        <v>19</v>
      </c>
      <c r="I176" s="3">
        <v>200</v>
      </c>
      <c r="J176" s="3" t="s">
        <v>164</v>
      </c>
      <c r="K176" s="3" t="s">
        <v>5</v>
      </c>
      <c r="L176" s="3" t="s">
        <v>82</v>
      </c>
      <c r="M176" s="4">
        <v>199900</v>
      </c>
      <c r="N176" s="5">
        <v>4.3</v>
      </c>
      <c r="O176" s="4">
        <f t="shared" si="4"/>
        <v>8595.7000000000007</v>
      </c>
      <c r="P176" s="4">
        <f t="shared" si="5"/>
        <v>191304.3</v>
      </c>
      <c r="Q176" s="3" t="s">
        <v>40</v>
      </c>
      <c r="R176" s="3" t="s">
        <v>67</v>
      </c>
      <c r="S176" s="3" t="s">
        <v>67</v>
      </c>
      <c r="T176" s="3" t="s">
        <v>26</v>
      </c>
    </row>
    <row r="177" spans="1:20" ht="15" customHeight="1" x14ac:dyDescent="0.3">
      <c r="A177" s="3" t="s">
        <v>697</v>
      </c>
      <c r="B177" s="3" t="s">
        <v>126</v>
      </c>
      <c r="C177" s="3" t="s">
        <v>14</v>
      </c>
      <c r="D177" s="3" t="s">
        <v>698</v>
      </c>
      <c r="E177" s="3" t="s">
        <v>699</v>
      </c>
      <c r="F177" s="3" t="s">
        <v>145</v>
      </c>
      <c r="G177" s="3" t="s">
        <v>146</v>
      </c>
      <c r="H177" s="3" t="s">
        <v>18</v>
      </c>
      <c r="I177" s="3">
        <v>110</v>
      </c>
      <c r="J177" s="3" t="s">
        <v>119</v>
      </c>
      <c r="K177" s="3" t="s">
        <v>7</v>
      </c>
      <c r="L177" s="3" t="s">
        <v>82</v>
      </c>
      <c r="M177" s="4">
        <v>74900</v>
      </c>
      <c r="N177" s="5">
        <v>3.7</v>
      </c>
      <c r="O177" s="4">
        <f t="shared" si="4"/>
        <v>2771.3</v>
      </c>
      <c r="P177" s="4">
        <f t="shared" si="5"/>
        <v>72128.7</v>
      </c>
      <c r="Q177" s="3" t="s">
        <v>38</v>
      </c>
      <c r="R177" s="3" t="s">
        <v>68</v>
      </c>
      <c r="S177" s="3" t="s">
        <v>68</v>
      </c>
      <c r="T177" s="3" t="s">
        <v>32</v>
      </c>
    </row>
    <row r="178" spans="1:20" ht="15" customHeight="1" x14ac:dyDescent="0.3">
      <c r="A178" s="3" t="s">
        <v>700</v>
      </c>
      <c r="B178" s="3" t="s">
        <v>158</v>
      </c>
      <c r="C178" s="3" t="s">
        <v>16</v>
      </c>
      <c r="D178" s="3" t="s">
        <v>701</v>
      </c>
      <c r="E178" s="3" t="s">
        <v>702</v>
      </c>
      <c r="F178" s="3" t="s">
        <v>174</v>
      </c>
      <c r="G178" s="3" t="s">
        <v>88</v>
      </c>
      <c r="H178" s="3" t="s">
        <v>18</v>
      </c>
      <c r="I178" s="3">
        <v>125</v>
      </c>
      <c r="J178" s="3" t="s">
        <v>129</v>
      </c>
      <c r="K178" s="3" t="s">
        <v>5</v>
      </c>
      <c r="L178" s="3" t="s">
        <v>74</v>
      </c>
      <c r="M178" s="4">
        <v>94900</v>
      </c>
      <c r="N178" s="5">
        <v>13.1</v>
      </c>
      <c r="O178" s="4">
        <f t="shared" si="4"/>
        <v>12431.9</v>
      </c>
      <c r="P178" s="4">
        <f t="shared" si="5"/>
        <v>82468.100000000006</v>
      </c>
      <c r="Q178" s="3" t="s">
        <v>28</v>
      </c>
      <c r="R178" s="3" t="s">
        <v>68</v>
      </c>
      <c r="S178" s="3" t="s">
        <v>67</v>
      </c>
      <c r="T178" s="3" t="s">
        <v>26</v>
      </c>
    </row>
    <row r="179" spans="1:20" ht="15" customHeight="1" x14ac:dyDescent="0.3">
      <c r="A179" s="3" t="s">
        <v>703</v>
      </c>
      <c r="B179" s="3" t="s">
        <v>366</v>
      </c>
      <c r="C179" s="3" t="s">
        <v>4</v>
      </c>
      <c r="D179" s="3" t="s">
        <v>704</v>
      </c>
      <c r="E179" s="3" t="s">
        <v>705</v>
      </c>
      <c r="F179" s="3" t="s">
        <v>134</v>
      </c>
      <c r="G179" s="3" t="s">
        <v>146</v>
      </c>
      <c r="H179" s="3" t="s">
        <v>18</v>
      </c>
      <c r="I179" s="3">
        <v>110</v>
      </c>
      <c r="J179" s="3" t="s">
        <v>179</v>
      </c>
      <c r="K179" s="3" t="s">
        <v>9</v>
      </c>
      <c r="L179" s="3" t="s">
        <v>66</v>
      </c>
      <c r="M179" s="4">
        <v>74900</v>
      </c>
      <c r="N179" s="5">
        <v>7.9</v>
      </c>
      <c r="O179" s="4">
        <f t="shared" si="4"/>
        <v>5917.1</v>
      </c>
      <c r="P179" s="4">
        <f t="shared" si="5"/>
        <v>68982.899999999994</v>
      </c>
      <c r="Q179" s="3" t="s">
        <v>36</v>
      </c>
      <c r="R179" s="3" t="s">
        <v>68</v>
      </c>
      <c r="S179" s="3" t="s">
        <v>68</v>
      </c>
      <c r="T179" s="3" t="s">
        <v>26</v>
      </c>
    </row>
    <row r="180" spans="1:20" ht="15" customHeight="1" x14ac:dyDescent="0.3">
      <c r="A180" s="3" t="s">
        <v>706</v>
      </c>
      <c r="B180" s="3" t="s">
        <v>467</v>
      </c>
      <c r="C180" s="3" t="s">
        <v>14</v>
      </c>
      <c r="D180" s="3" t="s">
        <v>707</v>
      </c>
      <c r="E180" s="3" t="s">
        <v>708</v>
      </c>
      <c r="F180" s="3" t="s">
        <v>134</v>
      </c>
      <c r="G180" s="3" t="s">
        <v>169</v>
      </c>
      <c r="H180" s="3" t="s">
        <v>18</v>
      </c>
      <c r="I180" s="3">
        <v>162</v>
      </c>
      <c r="J180" s="3" t="s">
        <v>96</v>
      </c>
      <c r="K180" s="3" t="s">
        <v>9</v>
      </c>
      <c r="L180" s="3" t="s">
        <v>74</v>
      </c>
      <c r="M180" s="4">
        <v>124900</v>
      </c>
      <c r="N180" s="5">
        <v>12.7</v>
      </c>
      <c r="O180" s="4">
        <f t="shared" si="4"/>
        <v>15862.3</v>
      </c>
      <c r="P180" s="4">
        <f t="shared" si="5"/>
        <v>109037.7</v>
      </c>
      <c r="Q180" s="3" t="s">
        <v>38</v>
      </c>
      <c r="R180" s="3" t="s">
        <v>68</v>
      </c>
      <c r="S180" s="3" t="s">
        <v>67</v>
      </c>
      <c r="T180" s="3" t="s">
        <v>26</v>
      </c>
    </row>
    <row r="181" spans="1:20" ht="15" customHeight="1" x14ac:dyDescent="0.3">
      <c r="A181" s="3" t="s">
        <v>709</v>
      </c>
      <c r="B181" s="3" t="s">
        <v>384</v>
      </c>
      <c r="C181" s="3" t="s">
        <v>15</v>
      </c>
      <c r="D181" s="3" t="s">
        <v>710</v>
      </c>
      <c r="E181" s="3" t="s">
        <v>711</v>
      </c>
      <c r="F181" s="3" t="s">
        <v>112</v>
      </c>
      <c r="G181" s="3" t="s">
        <v>184</v>
      </c>
      <c r="H181" s="3" t="s">
        <v>18</v>
      </c>
      <c r="I181" s="3">
        <v>125</v>
      </c>
      <c r="J181" s="3" t="s">
        <v>243</v>
      </c>
      <c r="K181" s="3" t="s">
        <v>11</v>
      </c>
      <c r="L181" s="3" t="s">
        <v>97</v>
      </c>
      <c r="M181" s="4">
        <v>79900</v>
      </c>
      <c r="N181" s="5">
        <v>13.3</v>
      </c>
      <c r="O181" s="4">
        <f t="shared" si="4"/>
        <v>10626.7</v>
      </c>
      <c r="P181" s="4">
        <f t="shared" si="5"/>
        <v>69273.3</v>
      </c>
      <c r="Q181" s="3" t="s">
        <v>34</v>
      </c>
      <c r="R181" s="3" t="s">
        <v>68</v>
      </c>
      <c r="S181" s="3" t="s">
        <v>68</v>
      </c>
      <c r="T181" s="3" t="s">
        <v>26</v>
      </c>
    </row>
    <row r="182" spans="1:20" ht="15" customHeight="1" x14ac:dyDescent="0.3">
      <c r="A182" s="3" t="s">
        <v>712</v>
      </c>
      <c r="B182" s="3" t="s">
        <v>713</v>
      </c>
      <c r="C182" s="3" t="s">
        <v>15</v>
      </c>
      <c r="D182" s="3" t="s">
        <v>428</v>
      </c>
      <c r="E182" s="3" t="s">
        <v>714</v>
      </c>
      <c r="F182" s="3" t="s">
        <v>79</v>
      </c>
      <c r="G182" s="3" t="s">
        <v>184</v>
      </c>
      <c r="H182" s="3" t="s">
        <v>18</v>
      </c>
      <c r="I182" s="3">
        <v>125</v>
      </c>
      <c r="J182" s="3" t="s">
        <v>96</v>
      </c>
      <c r="K182" s="3" t="s">
        <v>1</v>
      </c>
      <c r="L182" s="3" t="s">
        <v>66</v>
      </c>
      <c r="M182" s="4">
        <v>79900</v>
      </c>
      <c r="N182" s="5">
        <v>6</v>
      </c>
      <c r="O182" s="4">
        <f t="shared" si="4"/>
        <v>4794</v>
      </c>
      <c r="P182" s="4">
        <f t="shared" si="5"/>
        <v>75106</v>
      </c>
      <c r="Q182" s="3" t="s">
        <v>40</v>
      </c>
      <c r="R182" s="3" t="s">
        <v>68</v>
      </c>
      <c r="S182" s="3" t="s">
        <v>68</v>
      </c>
      <c r="T182" s="3" t="s">
        <v>32</v>
      </c>
    </row>
    <row r="183" spans="1:20" ht="15" customHeight="1" x14ac:dyDescent="0.3">
      <c r="A183" s="3" t="s">
        <v>715</v>
      </c>
      <c r="B183" s="3" t="s">
        <v>330</v>
      </c>
      <c r="C183" s="3" t="s">
        <v>4</v>
      </c>
      <c r="D183" s="3" t="s">
        <v>716</v>
      </c>
      <c r="E183" s="3" t="s">
        <v>717</v>
      </c>
      <c r="F183" s="3" t="s">
        <v>79</v>
      </c>
      <c r="G183" s="3" t="s">
        <v>156</v>
      </c>
      <c r="H183" s="3" t="s">
        <v>21</v>
      </c>
      <c r="I183" s="3">
        <v>125</v>
      </c>
      <c r="J183" s="3" t="s">
        <v>96</v>
      </c>
      <c r="K183" s="3" t="s">
        <v>1</v>
      </c>
      <c r="L183" s="3" t="s">
        <v>66</v>
      </c>
      <c r="M183" s="4">
        <v>88900</v>
      </c>
      <c r="N183" s="5">
        <v>11.1</v>
      </c>
      <c r="O183" s="4">
        <f t="shared" si="4"/>
        <v>9867.9</v>
      </c>
      <c r="P183" s="4">
        <f t="shared" si="5"/>
        <v>79032.100000000006</v>
      </c>
      <c r="Q183" s="3" t="s">
        <v>34</v>
      </c>
      <c r="R183" s="3" t="s">
        <v>67</v>
      </c>
      <c r="S183" s="3" t="s">
        <v>68</v>
      </c>
      <c r="T183" s="3" t="s">
        <v>26</v>
      </c>
    </row>
    <row r="184" spans="1:20" ht="15" customHeight="1" x14ac:dyDescent="0.3">
      <c r="A184" s="3" t="s">
        <v>718</v>
      </c>
      <c r="B184" s="3" t="s">
        <v>253</v>
      </c>
      <c r="C184" s="3" t="s">
        <v>17</v>
      </c>
      <c r="D184" s="3" t="s">
        <v>719</v>
      </c>
      <c r="E184" s="3" t="s">
        <v>720</v>
      </c>
      <c r="F184" s="3" t="s">
        <v>112</v>
      </c>
      <c r="G184" s="3" t="s">
        <v>64</v>
      </c>
      <c r="H184" s="3" t="s">
        <v>19</v>
      </c>
      <c r="I184" s="3">
        <v>200</v>
      </c>
      <c r="J184" s="3" t="s">
        <v>89</v>
      </c>
      <c r="K184" s="3" t="s">
        <v>3</v>
      </c>
      <c r="L184" s="3" t="s">
        <v>136</v>
      </c>
      <c r="M184" s="4">
        <v>199900</v>
      </c>
      <c r="N184" s="5">
        <v>14.7</v>
      </c>
      <c r="O184" s="4">
        <f t="shared" si="4"/>
        <v>29385.3</v>
      </c>
      <c r="P184" s="4">
        <f t="shared" si="5"/>
        <v>170514.7</v>
      </c>
      <c r="Q184" s="3" t="s">
        <v>31</v>
      </c>
      <c r="R184" s="3" t="s">
        <v>67</v>
      </c>
      <c r="S184" s="3" t="s">
        <v>68</v>
      </c>
      <c r="T184" s="3" t="s">
        <v>32</v>
      </c>
    </row>
    <row r="185" spans="1:20" ht="15" customHeight="1" x14ac:dyDescent="0.3">
      <c r="A185" s="3" t="s">
        <v>721</v>
      </c>
      <c r="B185" s="3" t="s">
        <v>722</v>
      </c>
      <c r="C185" s="3" t="s">
        <v>2</v>
      </c>
      <c r="D185" s="3" t="s">
        <v>723</v>
      </c>
      <c r="E185" s="3" t="s">
        <v>724</v>
      </c>
      <c r="F185" s="3" t="s">
        <v>63</v>
      </c>
      <c r="G185" s="3" t="s">
        <v>135</v>
      </c>
      <c r="H185" s="3" t="s">
        <v>19</v>
      </c>
      <c r="I185" s="3">
        <v>160</v>
      </c>
      <c r="J185" s="3" t="s">
        <v>89</v>
      </c>
      <c r="K185" s="3" t="s">
        <v>5</v>
      </c>
      <c r="L185" s="3" t="s">
        <v>66</v>
      </c>
      <c r="M185" s="4">
        <v>124900</v>
      </c>
      <c r="N185" s="5">
        <v>7.6</v>
      </c>
      <c r="O185" s="4">
        <f t="shared" si="4"/>
        <v>9492.4</v>
      </c>
      <c r="P185" s="4">
        <f t="shared" si="5"/>
        <v>115407.6</v>
      </c>
      <c r="Q185" s="3" t="s">
        <v>28</v>
      </c>
      <c r="R185" s="3" t="s">
        <v>67</v>
      </c>
      <c r="S185" s="3" t="s">
        <v>68</v>
      </c>
      <c r="T185" s="3" t="s">
        <v>26</v>
      </c>
    </row>
    <row r="186" spans="1:20" ht="15" customHeight="1" x14ac:dyDescent="0.3">
      <c r="A186" s="3" t="s">
        <v>725</v>
      </c>
      <c r="B186" s="3" t="s">
        <v>341</v>
      </c>
      <c r="C186" s="3" t="s">
        <v>12</v>
      </c>
      <c r="D186" s="3" t="s">
        <v>726</v>
      </c>
      <c r="E186" s="3" t="s">
        <v>727</v>
      </c>
      <c r="F186" s="3" t="s">
        <v>145</v>
      </c>
      <c r="G186" s="3" t="s">
        <v>211</v>
      </c>
      <c r="H186" s="3" t="s">
        <v>20</v>
      </c>
      <c r="I186" s="3">
        <v>350</v>
      </c>
      <c r="J186" s="3" t="s">
        <v>164</v>
      </c>
      <c r="K186" s="3" t="s">
        <v>3</v>
      </c>
      <c r="L186" s="3" t="s">
        <v>206</v>
      </c>
      <c r="M186" s="4">
        <v>199900</v>
      </c>
      <c r="N186" s="5">
        <v>9.5</v>
      </c>
      <c r="O186" s="4">
        <f t="shared" si="4"/>
        <v>18990.5</v>
      </c>
      <c r="P186" s="4">
        <f t="shared" si="5"/>
        <v>180909.5</v>
      </c>
      <c r="Q186" s="3" t="s">
        <v>34</v>
      </c>
      <c r="R186" s="3" t="s">
        <v>67</v>
      </c>
      <c r="S186" s="3" t="s">
        <v>67</v>
      </c>
      <c r="T186" s="3" t="s">
        <v>29</v>
      </c>
    </row>
    <row r="187" spans="1:20" ht="15" customHeight="1" x14ac:dyDescent="0.3">
      <c r="A187" s="3" t="s">
        <v>728</v>
      </c>
      <c r="B187" s="3" t="s">
        <v>482</v>
      </c>
      <c r="C187" s="3" t="s">
        <v>6</v>
      </c>
      <c r="D187" s="3" t="s">
        <v>729</v>
      </c>
      <c r="E187" s="3" t="s">
        <v>730</v>
      </c>
      <c r="F187" s="3" t="s">
        <v>124</v>
      </c>
      <c r="G187" s="3" t="s">
        <v>256</v>
      </c>
      <c r="H187" s="3" t="s">
        <v>21</v>
      </c>
      <c r="I187" s="3">
        <v>110</v>
      </c>
      <c r="J187" s="3" t="s">
        <v>243</v>
      </c>
      <c r="K187" s="3" t="s">
        <v>7</v>
      </c>
      <c r="L187" s="3" t="s">
        <v>66</v>
      </c>
      <c r="M187" s="4">
        <v>80900</v>
      </c>
      <c r="N187" s="5">
        <v>5.7</v>
      </c>
      <c r="O187" s="4">
        <f t="shared" si="4"/>
        <v>4611.3</v>
      </c>
      <c r="P187" s="4">
        <f t="shared" si="5"/>
        <v>76288.7</v>
      </c>
      <c r="Q187" s="3" t="s">
        <v>38</v>
      </c>
      <c r="R187" s="3" t="s">
        <v>67</v>
      </c>
      <c r="S187" s="3" t="s">
        <v>67</v>
      </c>
      <c r="T187" s="3" t="s">
        <v>26</v>
      </c>
    </row>
    <row r="188" spans="1:20" ht="15" customHeight="1" x14ac:dyDescent="0.3">
      <c r="A188" s="3" t="s">
        <v>731</v>
      </c>
      <c r="B188" s="3" t="s">
        <v>732</v>
      </c>
      <c r="C188" s="3" t="s">
        <v>8</v>
      </c>
      <c r="D188" s="3" t="s">
        <v>733</v>
      </c>
      <c r="E188" s="3" t="s">
        <v>734</v>
      </c>
      <c r="F188" s="3" t="s">
        <v>124</v>
      </c>
      <c r="G188" s="3" t="s">
        <v>146</v>
      </c>
      <c r="H188" s="3" t="s">
        <v>18</v>
      </c>
      <c r="I188" s="3">
        <v>110</v>
      </c>
      <c r="J188" s="3" t="s">
        <v>119</v>
      </c>
      <c r="K188" s="3" t="s">
        <v>3</v>
      </c>
      <c r="L188" s="3" t="s">
        <v>97</v>
      </c>
      <c r="M188" s="4">
        <v>74900</v>
      </c>
      <c r="N188" s="5">
        <v>11.1</v>
      </c>
      <c r="O188" s="4">
        <f t="shared" si="4"/>
        <v>8313.9</v>
      </c>
      <c r="P188" s="4">
        <f t="shared" si="5"/>
        <v>66586.100000000006</v>
      </c>
      <c r="Q188" s="3" t="s">
        <v>38</v>
      </c>
      <c r="R188" s="3" t="s">
        <v>68</v>
      </c>
      <c r="S188" s="3" t="s">
        <v>67</v>
      </c>
      <c r="T188" s="3" t="s">
        <v>26</v>
      </c>
    </row>
    <row r="189" spans="1:20" ht="15" customHeight="1" x14ac:dyDescent="0.3">
      <c r="A189" s="3" t="s">
        <v>735</v>
      </c>
      <c r="B189" s="3" t="s">
        <v>341</v>
      </c>
      <c r="C189" s="3" t="s">
        <v>12</v>
      </c>
      <c r="D189" s="3" t="s">
        <v>736</v>
      </c>
      <c r="E189" s="3" t="s">
        <v>737</v>
      </c>
      <c r="F189" s="3" t="s">
        <v>124</v>
      </c>
      <c r="G189" s="3" t="s">
        <v>316</v>
      </c>
      <c r="H189" s="3" t="s">
        <v>19</v>
      </c>
      <c r="I189" s="3">
        <v>150</v>
      </c>
      <c r="J189" s="3" t="s">
        <v>179</v>
      </c>
      <c r="K189" s="3" t="s">
        <v>3</v>
      </c>
      <c r="L189" s="3" t="s">
        <v>103</v>
      </c>
      <c r="M189" s="4">
        <v>109900</v>
      </c>
      <c r="N189" s="5">
        <v>5.3</v>
      </c>
      <c r="O189" s="4">
        <f t="shared" si="4"/>
        <v>5824.7</v>
      </c>
      <c r="P189" s="4">
        <f t="shared" si="5"/>
        <v>104075.3</v>
      </c>
      <c r="Q189" s="3" t="s">
        <v>31</v>
      </c>
      <c r="R189" s="3" t="s">
        <v>68</v>
      </c>
      <c r="S189" s="3" t="s">
        <v>68</v>
      </c>
      <c r="T189" s="3" t="s">
        <v>32</v>
      </c>
    </row>
    <row r="190" spans="1:20" ht="15" customHeight="1" x14ac:dyDescent="0.3">
      <c r="A190" s="3" t="s">
        <v>738</v>
      </c>
      <c r="B190" s="3" t="s">
        <v>493</v>
      </c>
      <c r="C190" s="3" t="s">
        <v>14</v>
      </c>
      <c r="D190" s="3" t="s">
        <v>739</v>
      </c>
      <c r="E190" s="3" t="s">
        <v>740</v>
      </c>
      <c r="F190" s="3" t="s">
        <v>63</v>
      </c>
      <c r="G190" s="3" t="s">
        <v>73</v>
      </c>
      <c r="H190" s="3" t="s">
        <v>21</v>
      </c>
      <c r="I190" s="3">
        <v>110</v>
      </c>
      <c r="J190" s="3" t="s">
        <v>243</v>
      </c>
      <c r="K190" s="3" t="s">
        <v>3</v>
      </c>
      <c r="L190" s="3" t="s">
        <v>74</v>
      </c>
      <c r="M190" s="4">
        <v>79900</v>
      </c>
      <c r="N190" s="5">
        <v>6.4</v>
      </c>
      <c r="O190" s="4">
        <f t="shared" si="4"/>
        <v>5113.6000000000004</v>
      </c>
      <c r="P190" s="4">
        <f t="shared" si="5"/>
        <v>74786.399999999994</v>
      </c>
      <c r="Q190" s="3" t="s">
        <v>38</v>
      </c>
      <c r="R190" s="3" t="s">
        <v>67</v>
      </c>
      <c r="S190" s="3" t="s">
        <v>68</v>
      </c>
      <c r="T190" s="3" t="s">
        <v>26</v>
      </c>
    </row>
    <row r="191" spans="1:20" ht="15" customHeight="1" x14ac:dyDescent="0.3">
      <c r="A191" s="3" t="s">
        <v>741</v>
      </c>
      <c r="B191" s="3" t="s">
        <v>76</v>
      </c>
      <c r="C191" s="3" t="s">
        <v>4</v>
      </c>
      <c r="D191" s="3" t="s">
        <v>742</v>
      </c>
      <c r="E191" s="3" t="s">
        <v>743</v>
      </c>
      <c r="F191" s="3" t="s">
        <v>117</v>
      </c>
      <c r="G191" s="3" t="s">
        <v>201</v>
      </c>
      <c r="H191" s="3" t="s">
        <v>19</v>
      </c>
      <c r="I191" s="3">
        <v>160</v>
      </c>
      <c r="J191" s="3" t="s">
        <v>129</v>
      </c>
      <c r="K191" s="3" t="s">
        <v>11</v>
      </c>
      <c r="L191" s="3" t="s">
        <v>90</v>
      </c>
      <c r="M191" s="4">
        <v>129900</v>
      </c>
      <c r="N191" s="5">
        <v>6</v>
      </c>
      <c r="O191" s="4">
        <f t="shared" si="4"/>
        <v>7794</v>
      </c>
      <c r="P191" s="4">
        <f t="shared" si="5"/>
        <v>122106</v>
      </c>
      <c r="Q191" s="3" t="s">
        <v>25</v>
      </c>
      <c r="R191" s="3" t="s">
        <v>67</v>
      </c>
      <c r="S191" s="3" t="s">
        <v>68</v>
      </c>
      <c r="T191" s="3" t="s">
        <v>26</v>
      </c>
    </row>
    <row r="192" spans="1:20" ht="15" customHeight="1" x14ac:dyDescent="0.3">
      <c r="A192" s="3" t="s">
        <v>744</v>
      </c>
      <c r="B192" s="3" t="s">
        <v>76</v>
      </c>
      <c r="C192" s="3" t="s">
        <v>4</v>
      </c>
      <c r="D192" s="3" t="s">
        <v>532</v>
      </c>
      <c r="E192" s="3" t="s">
        <v>745</v>
      </c>
      <c r="F192" s="3" t="s">
        <v>145</v>
      </c>
      <c r="G192" s="3" t="s">
        <v>184</v>
      </c>
      <c r="H192" s="3" t="s">
        <v>18</v>
      </c>
      <c r="I192" s="3">
        <v>125</v>
      </c>
      <c r="J192" s="3" t="s">
        <v>89</v>
      </c>
      <c r="K192" s="3" t="s">
        <v>1</v>
      </c>
      <c r="L192" s="3" t="s">
        <v>82</v>
      </c>
      <c r="M192" s="4">
        <v>79900</v>
      </c>
      <c r="N192" s="5">
        <v>8.1999999999999993</v>
      </c>
      <c r="O192" s="4">
        <f t="shared" si="4"/>
        <v>6551.8</v>
      </c>
      <c r="P192" s="4">
        <f t="shared" si="5"/>
        <v>73348.2</v>
      </c>
      <c r="Q192" s="3" t="s">
        <v>38</v>
      </c>
      <c r="R192" s="3" t="s">
        <v>67</v>
      </c>
      <c r="S192" s="3" t="s">
        <v>68</v>
      </c>
      <c r="T192" s="3" t="s">
        <v>29</v>
      </c>
    </row>
    <row r="193" spans="1:20" ht="15" customHeight="1" x14ac:dyDescent="0.3">
      <c r="A193" s="3" t="s">
        <v>746</v>
      </c>
      <c r="B193" s="3" t="s">
        <v>224</v>
      </c>
      <c r="C193" s="3" t="s">
        <v>0</v>
      </c>
      <c r="D193" s="3" t="s">
        <v>747</v>
      </c>
      <c r="E193" s="3" t="s">
        <v>748</v>
      </c>
      <c r="F193" s="3" t="s">
        <v>79</v>
      </c>
      <c r="G193" s="3" t="s">
        <v>169</v>
      </c>
      <c r="H193" s="3" t="s">
        <v>18</v>
      </c>
      <c r="I193" s="3">
        <v>162</v>
      </c>
      <c r="J193" s="3" t="s">
        <v>81</v>
      </c>
      <c r="K193" s="3" t="s">
        <v>5</v>
      </c>
      <c r="L193" s="3" t="s">
        <v>74</v>
      </c>
      <c r="M193" s="4">
        <v>124900</v>
      </c>
      <c r="N193" s="5">
        <v>11</v>
      </c>
      <c r="O193" s="4">
        <f t="shared" si="4"/>
        <v>13739</v>
      </c>
      <c r="P193" s="4">
        <f t="shared" si="5"/>
        <v>111161</v>
      </c>
      <c r="Q193" s="3" t="s">
        <v>40</v>
      </c>
      <c r="R193" s="3" t="s">
        <v>67</v>
      </c>
      <c r="S193" s="3" t="s">
        <v>68</v>
      </c>
      <c r="T193" s="3" t="s">
        <v>26</v>
      </c>
    </row>
    <row r="194" spans="1:20" ht="15" customHeight="1" x14ac:dyDescent="0.3">
      <c r="A194" s="3" t="s">
        <v>749</v>
      </c>
      <c r="B194" s="3" t="s">
        <v>138</v>
      </c>
      <c r="C194" s="3" t="s">
        <v>16</v>
      </c>
      <c r="D194" s="3" t="s">
        <v>750</v>
      </c>
      <c r="E194" s="3" t="s">
        <v>751</v>
      </c>
      <c r="F194" s="3" t="s">
        <v>145</v>
      </c>
      <c r="G194" s="3" t="s">
        <v>135</v>
      </c>
      <c r="H194" s="3" t="s">
        <v>19</v>
      </c>
      <c r="I194" s="3">
        <v>160</v>
      </c>
      <c r="J194" s="3" t="s">
        <v>129</v>
      </c>
      <c r="K194" s="3" t="s">
        <v>5</v>
      </c>
      <c r="L194" s="3" t="s">
        <v>66</v>
      </c>
      <c r="M194" s="4">
        <v>124900</v>
      </c>
      <c r="N194" s="5">
        <v>12.3</v>
      </c>
      <c r="O194" s="4">
        <f t="shared" ref="O194:O257" si="6">M194*N194/100</f>
        <v>15362.7</v>
      </c>
      <c r="P194" s="4">
        <f t="shared" ref="P194:P257" si="7">M194-O194</f>
        <v>109537.3</v>
      </c>
      <c r="Q194" s="3" t="s">
        <v>34</v>
      </c>
      <c r="R194" s="3" t="s">
        <v>67</v>
      </c>
      <c r="S194" s="3" t="s">
        <v>67</v>
      </c>
      <c r="T194" s="3" t="s">
        <v>26</v>
      </c>
    </row>
    <row r="195" spans="1:20" ht="15" customHeight="1" x14ac:dyDescent="0.3">
      <c r="A195" s="3" t="s">
        <v>752</v>
      </c>
      <c r="B195" s="3" t="s">
        <v>497</v>
      </c>
      <c r="C195" s="3" t="s">
        <v>17</v>
      </c>
      <c r="D195" s="3" t="s">
        <v>753</v>
      </c>
      <c r="E195" s="3" t="s">
        <v>754</v>
      </c>
      <c r="F195" s="3" t="s">
        <v>63</v>
      </c>
      <c r="G195" s="3" t="s">
        <v>64</v>
      </c>
      <c r="H195" s="3" t="s">
        <v>19</v>
      </c>
      <c r="I195" s="3">
        <v>200</v>
      </c>
      <c r="J195" s="3" t="s">
        <v>89</v>
      </c>
      <c r="K195" s="3" t="s">
        <v>7</v>
      </c>
      <c r="L195" s="3" t="s">
        <v>103</v>
      </c>
      <c r="M195" s="4">
        <v>199900</v>
      </c>
      <c r="N195" s="5">
        <v>11.3</v>
      </c>
      <c r="O195" s="4">
        <f t="shared" si="6"/>
        <v>22588.7</v>
      </c>
      <c r="P195" s="4">
        <f t="shared" si="7"/>
        <v>177311.3</v>
      </c>
      <c r="Q195" s="3" t="s">
        <v>38</v>
      </c>
      <c r="R195" s="3" t="s">
        <v>67</v>
      </c>
      <c r="S195" s="3" t="s">
        <v>67</v>
      </c>
      <c r="T195" s="3" t="s">
        <v>26</v>
      </c>
    </row>
    <row r="196" spans="1:20" ht="15" customHeight="1" x14ac:dyDescent="0.3">
      <c r="A196" s="3" t="s">
        <v>755</v>
      </c>
      <c r="B196" s="3" t="s">
        <v>410</v>
      </c>
      <c r="C196" s="3" t="s">
        <v>17</v>
      </c>
      <c r="D196" s="3" t="s">
        <v>756</v>
      </c>
      <c r="E196" s="3" t="s">
        <v>757</v>
      </c>
      <c r="F196" s="3" t="s">
        <v>87</v>
      </c>
      <c r="G196" s="3" t="s">
        <v>256</v>
      </c>
      <c r="H196" s="3" t="s">
        <v>21</v>
      </c>
      <c r="I196" s="3">
        <v>110</v>
      </c>
      <c r="J196" s="3" t="s">
        <v>129</v>
      </c>
      <c r="K196" s="3" t="s">
        <v>11</v>
      </c>
      <c r="L196" s="3" t="s">
        <v>206</v>
      </c>
      <c r="M196" s="4">
        <v>80900</v>
      </c>
      <c r="N196" s="5">
        <v>5.0999999999999996</v>
      </c>
      <c r="O196" s="4">
        <f t="shared" si="6"/>
        <v>4125.8999999999996</v>
      </c>
      <c r="P196" s="4">
        <f t="shared" si="7"/>
        <v>76774.100000000006</v>
      </c>
      <c r="Q196" s="3" t="s">
        <v>36</v>
      </c>
      <c r="R196" s="3" t="s">
        <v>67</v>
      </c>
      <c r="S196" s="3" t="s">
        <v>67</v>
      </c>
      <c r="T196" s="3" t="s">
        <v>26</v>
      </c>
    </row>
    <row r="197" spans="1:20" ht="15" customHeight="1" x14ac:dyDescent="0.3">
      <c r="A197" s="3" t="s">
        <v>758</v>
      </c>
      <c r="B197" s="3" t="s">
        <v>759</v>
      </c>
      <c r="C197" s="3" t="s">
        <v>8</v>
      </c>
      <c r="D197" s="3" t="s">
        <v>760</v>
      </c>
      <c r="E197" s="3" t="s">
        <v>761</v>
      </c>
      <c r="F197" s="3" t="s">
        <v>124</v>
      </c>
      <c r="G197" s="3" t="s">
        <v>316</v>
      </c>
      <c r="H197" s="3" t="s">
        <v>19</v>
      </c>
      <c r="I197" s="3">
        <v>150</v>
      </c>
      <c r="J197" s="3" t="s">
        <v>119</v>
      </c>
      <c r="K197" s="3" t="s">
        <v>11</v>
      </c>
      <c r="L197" s="3" t="s">
        <v>206</v>
      </c>
      <c r="M197" s="4">
        <v>109900</v>
      </c>
      <c r="N197" s="5">
        <v>4.5999999999999996</v>
      </c>
      <c r="O197" s="4">
        <f t="shared" si="6"/>
        <v>5055.3999999999996</v>
      </c>
      <c r="P197" s="4">
        <f t="shared" si="7"/>
        <v>104844.6</v>
      </c>
      <c r="Q197" s="3" t="s">
        <v>28</v>
      </c>
      <c r="R197" s="3" t="s">
        <v>67</v>
      </c>
      <c r="S197" s="3" t="s">
        <v>67</v>
      </c>
      <c r="T197" s="3" t="s">
        <v>29</v>
      </c>
    </row>
    <row r="198" spans="1:20" ht="15" customHeight="1" x14ac:dyDescent="0.3">
      <c r="A198" s="3" t="s">
        <v>762</v>
      </c>
      <c r="B198" s="3" t="s">
        <v>410</v>
      </c>
      <c r="C198" s="3" t="s">
        <v>17</v>
      </c>
      <c r="D198" s="3" t="s">
        <v>763</v>
      </c>
      <c r="E198" s="3" t="s">
        <v>764</v>
      </c>
      <c r="F198" s="3" t="s">
        <v>112</v>
      </c>
      <c r="G198" s="3" t="s">
        <v>64</v>
      </c>
      <c r="H198" s="3" t="s">
        <v>19</v>
      </c>
      <c r="I198" s="3">
        <v>200</v>
      </c>
      <c r="J198" s="3" t="s">
        <v>243</v>
      </c>
      <c r="K198" s="3" t="s">
        <v>3</v>
      </c>
      <c r="L198" s="3" t="s">
        <v>82</v>
      </c>
      <c r="M198" s="4">
        <v>199900</v>
      </c>
      <c r="N198" s="5">
        <v>10.1</v>
      </c>
      <c r="O198" s="4">
        <f t="shared" si="6"/>
        <v>20189.900000000001</v>
      </c>
      <c r="P198" s="4">
        <f t="shared" si="7"/>
        <v>179710.1</v>
      </c>
      <c r="Q198" s="3" t="s">
        <v>40</v>
      </c>
      <c r="R198" s="3" t="s">
        <v>67</v>
      </c>
      <c r="S198" s="3" t="s">
        <v>68</v>
      </c>
      <c r="T198" s="3" t="s">
        <v>26</v>
      </c>
    </row>
    <row r="199" spans="1:20" ht="15" customHeight="1" x14ac:dyDescent="0.3">
      <c r="A199" s="3" t="s">
        <v>765</v>
      </c>
      <c r="B199" s="3" t="s">
        <v>70</v>
      </c>
      <c r="C199" s="3" t="s">
        <v>2</v>
      </c>
      <c r="D199" s="3" t="s">
        <v>766</v>
      </c>
      <c r="E199" s="3" t="s">
        <v>767</v>
      </c>
      <c r="F199" s="3" t="s">
        <v>112</v>
      </c>
      <c r="G199" s="3" t="s">
        <v>222</v>
      </c>
      <c r="H199" s="3" t="s">
        <v>19</v>
      </c>
      <c r="I199" s="3">
        <v>155</v>
      </c>
      <c r="J199" s="3" t="s">
        <v>89</v>
      </c>
      <c r="K199" s="3" t="s">
        <v>3</v>
      </c>
      <c r="L199" s="3" t="s">
        <v>97</v>
      </c>
      <c r="M199" s="4">
        <v>167900</v>
      </c>
      <c r="N199" s="5">
        <v>11.3</v>
      </c>
      <c r="O199" s="4">
        <f t="shared" si="6"/>
        <v>18972.7</v>
      </c>
      <c r="P199" s="4">
        <f t="shared" si="7"/>
        <v>148927.29999999999</v>
      </c>
      <c r="Q199" s="3" t="s">
        <v>28</v>
      </c>
      <c r="R199" s="3" t="s">
        <v>68</v>
      </c>
      <c r="S199" s="3" t="s">
        <v>68</v>
      </c>
      <c r="T199" s="3" t="s">
        <v>29</v>
      </c>
    </row>
    <row r="200" spans="1:20" ht="15" customHeight="1" x14ac:dyDescent="0.3">
      <c r="A200" s="3" t="s">
        <v>768</v>
      </c>
      <c r="B200" s="3" t="s">
        <v>437</v>
      </c>
      <c r="C200" s="3" t="s">
        <v>0</v>
      </c>
      <c r="D200" s="3" t="s">
        <v>769</v>
      </c>
      <c r="E200" s="3" t="s">
        <v>770</v>
      </c>
      <c r="F200" s="3" t="s">
        <v>174</v>
      </c>
      <c r="G200" s="3" t="s">
        <v>222</v>
      </c>
      <c r="H200" s="3" t="s">
        <v>19</v>
      </c>
      <c r="I200" s="3">
        <v>155</v>
      </c>
      <c r="J200" s="3" t="s">
        <v>164</v>
      </c>
      <c r="K200" s="3" t="s">
        <v>3</v>
      </c>
      <c r="L200" s="3" t="s">
        <v>103</v>
      </c>
      <c r="M200" s="4">
        <v>167900</v>
      </c>
      <c r="N200" s="5">
        <v>8.3000000000000007</v>
      </c>
      <c r="O200" s="4">
        <f t="shared" si="6"/>
        <v>13935.700000000003</v>
      </c>
      <c r="P200" s="4">
        <f t="shared" si="7"/>
        <v>153964.29999999999</v>
      </c>
      <c r="Q200" s="3" t="s">
        <v>36</v>
      </c>
      <c r="R200" s="3" t="s">
        <v>67</v>
      </c>
      <c r="S200" s="3" t="s">
        <v>68</v>
      </c>
      <c r="T200" s="3" t="s">
        <v>26</v>
      </c>
    </row>
    <row r="201" spans="1:20" ht="15" customHeight="1" x14ac:dyDescent="0.3">
      <c r="A201" s="3" t="s">
        <v>771</v>
      </c>
      <c r="B201" s="3" t="s">
        <v>362</v>
      </c>
      <c r="C201" s="3" t="s">
        <v>2</v>
      </c>
      <c r="D201" s="3" t="s">
        <v>716</v>
      </c>
      <c r="E201" s="3" t="s">
        <v>772</v>
      </c>
      <c r="F201" s="3" t="s">
        <v>63</v>
      </c>
      <c r="G201" s="3" t="s">
        <v>95</v>
      </c>
      <c r="H201" s="3" t="s">
        <v>22</v>
      </c>
      <c r="I201" s="3">
        <v>0</v>
      </c>
      <c r="J201" s="3" t="s">
        <v>65</v>
      </c>
      <c r="K201" s="3" t="s">
        <v>5</v>
      </c>
      <c r="L201" s="3" t="s">
        <v>97</v>
      </c>
      <c r="M201" s="4">
        <v>139999</v>
      </c>
      <c r="N201" s="5">
        <v>10.7</v>
      </c>
      <c r="O201" s="4">
        <f t="shared" si="6"/>
        <v>14979.892999999998</v>
      </c>
      <c r="P201" s="4">
        <f t="shared" si="7"/>
        <v>125019.107</v>
      </c>
      <c r="Q201" s="3" t="s">
        <v>40</v>
      </c>
      <c r="R201" s="3" t="s">
        <v>67</v>
      </c>
      <c r="S201" s="3" t="s">
        <v>68</v>
      </c>
      <c r="T201" s="3" t="s">
        <v>26</v>
      </c>
    </row>
    <row r="202" spans="1:20" ht="15" customHeight="1" x14ac:dyDescent="0.3">
      <c r="A202" s="3" t="s">
        <v>773</v>
      </c>
      <c r="B202" s="3" t="s">
        <v>234</v>
      </c>
      <c r="C202" s="3" t="s">
        <v>14</v>
      </c>
      <c r="D202" s="3" t="s">
        <v>774</v>
      </c>
      <c r="E202" s="3" t="s">
        <v>775</v>
      </c>
      <c r="F202" s="3" t="s">
        <v>174</v>
      </c>
      <c r="G202" s="3" t="s">
        <v>156</v>
      </c>
      <c r="H202" s="3" t="s">
        <v>21</v>
      </c>
      <c r="I202" s="3">
        <v>125</v>
      </c>
      <c r="J202" s="3" t="s">
        <v>119</v>
      </c>
      <c r="K202" s="3" t="s">
        <v>1</v>
      </c>
      <c r="L202" s="3" t="s">
        <v>82</v>
      </c>
      <c r="M202" s="4">
        <v>88900</v>
      </c>
      <c r="N202" s="5">
        <v>12</v>
      </c>
      <c r="O202" s="4">
        <f t="shared" si="6"/>
        <v>10668</v>
      </c>
      <c r="P202" s="4">
        <f t="shared" si="7"/>
        <v>78232</v>
      </c>
      <c r="Q202" s="3" t="s">
        <v>31</v>
      </c>
      <c r="R202" s="3" t="s">
        <v>68</v>
      </c>
      <c r="S202" s="3" t="s">
        <v>68</v>
      </c>
      <c r="T202" s="3" t="s">
        <v>26</v>
      </c>
    </row>
    <row r="203" spans="1:20" ht="15" customHeight="1" x14ac:dyDescent="0.3">
      <c r="A203" s="3" t="s">
        <v>776</v>
      </c>
      <c r="B203" s="3" t="s">
        <v>60</v>
      </c>
      <c r="C203" s="3" t="s">
        <v>10</v>
      </c>
      <c r="D203" s="3" t="s">
        <v>777</v>
      </c>
      <c r="E203" s="3" t="s">
        <v>778</v>
      </c>
      <c r="F203" s="3" t="s">
        <v>79</v>
      </c>
      <c r="G203" s="3" t="s">
        <v>95</v>
      </c>
      <c r="H203" s="3" t="s">
        <v>22</v>
      </c>
      <c r="I203" s="3">
        <v>0</v>
      </c>
      <c r="J203" s="3" t="s">
        <v>89</v>
      </c>
      <c r="K203" s="3" t="s">
        <v>3</v>
      </c>
      <c r="L203" s="3" t="s">
        <v>103</v>
      </c>
      <c r="M203" s="4">
        <v>139999</v>
      </c>
      <c r="N203" s="5">
        <v>6.8</v>
      </c>
      <c r="O203" s="4">
        <f t="shared" si="6"/>
        <v>9519.9319999999989</v>
      </c>
      <c r="P203" s="4">
        <f t="shared" si="7"/>
        <v>130479.068</v>
      </c>
      <c r="Q203" s="3" t="s">
        <v>31</v>
      </c>
      <c r="R203" s="3" t="s">
        <v>67</v>
      </c>
      <c r="S203" s="3" t="s">
        <v>68</v>
      </c>
      <c r="T203" s="3" t="s">
        <v>32</v>
      </c>
    </row>
    <row r="204" spans="1:20" ht="15" customHeight="1" x14ac:dyDescent="0.3">
      <c r="A204" s="3" t="s">
        <v>779</v>
      </c>
      <c r="B204" s="3" t="s">
        <v>759</v>
      </c>
      <c r="C204" s="3" t="s">
        <v>8</v>
      </c>
      <c r="D204" s="3" t="s">
        <v>780</v>
      </c>
      <c r="E204" s="3" t="s">
        <v>781</v>
      </c>
      <c r="F204" s="3" t="s">
        <v>124</v>
      </c>
      <c r="G204" s="3" t="s">
        <v>184</v>
      </c>
      <c r="H204" s="3" t="s">
        <v>18</v>
      </c>
      <c r="I204" s="3">
        <v>125</v>
      </c>
      <c r="J204" s="3" t="s">
        <v>119</v>
      </c>
      <c r="K204" s="3" t="s">
        <v>7</v>
      </c>
      <c r="L204" s="3" t="s">
        <v>74</v>
      </c>
      <c r="M204" s="4">
        <v>79900</v>
      </c>
      <c r="N204" s="5">
        <v>9</v>
      </c>
      <c r="O204" s="4">
        <f t="shared" si="6"/>
        <v>7191</v>
      </c>
      <c r="P204" s="4">
        <f t="shared" si="7"/>
        <v>72709</v>
      </c>
      <c r="Q204" s="3" t="s">
        <v>36</v>
      </c>
      <c r="R204" s="3" t="s">
        <v>67</v>
      </c>
      <c r="S204" s="3" t="s">
        <v>68</v>
      </c>
      <c r="T204" s="3" t="s">
        <v>32</v>
      </c>
    </row>
    <row r="205" spans="1:20" ht="15" customHeight="1" x14ac:dyDescent="0.3">
      <c r="A205" s="3" t="s">
        <v>782</v>
      </c>
      <c r="B205" s="3" t="s">
        <v>60</v>
      </c>
      <c r="C205" s="3" t="s">
        <v>16</v>
      </c>
      <c r="D205" s="3" t="s">
        <v>710</v>
      </c>
      <c r="E205" s="3" t="s">
        <v>783</v>
      </c>
      <c r="F205" s="3" t="s">
        <v>87</v>
      </c>
      <c r="G205" s="3" t="s">
        <v>118</v>
      </c>
      <c r="H205" s="3" t="s">
        <v>20</v>
      </c>
      <c r="I205" s="3">
        <v>350</v>
      </c>
      <c r="J205" s="3" t="s">
        <v>164</v>
      </c>
      <c r="K205" s="3" t="s">
        <v>1</v>
      </c>
      <c r="L205" s="3" t="s">
        <v>90</v>
      </c>
      <c r="M205" s="4">
        <v>159900</v>
      </c>
      <c r="N205" s="5">
        <v>8.8000000000000007</v>
      </c>
      <c r="O205" s="4">
        <f t="shared" si="6"/>
        <v>14071.2</v>
      </c>
      <c r="P205" s="4">
        <f t="shared" si="7"/>
        <v>145828.79999999999</v>
      </c>
      <c r="Q205" s="3" t="s">
        <v>25</v>
      </c>
      <c r="R205" s="3" t="s">
        <v>67</v>
      </c>
      <c r="S205" s="3" t="s">
        <v>67</v>
      </c>
      <c r="T205" s="3" t="s">
        <v>26</v>
      </c>
    </row>
    <row r="206" spans="1:20" ht="15" customHeight="1" x14ac:dyDescent="0.3">
      <c r="A206" s="3" t="s">
        <v>784</v>
      </c>
      <c r="B206" s="3" t="s">
        <v>224</v>
      </c>
      <c r="C206" s="3" t="s">
        <v>0</v>
      </c>
      <c r="D206" s="3" t="s">
        <v>785</v>
      </c>
      <c r="E206" s="3" t="s">
        <v>786</v>
      </c>
      <c r="F206" s="3" t="s">
        <v>155</v>
      </c>
      <c r="G206" s="3" t="s">
        <v>146</v>
      </c>
      <c r="H206" s="3" t="s">
        <v>18</v>
      </c>
      <c r="I206" s="3">
        <v>110</v>
      </c>
      <c r="J206" s="3" t="s">
        <v>89</v>
      </c>
      <c r="K206" s="3" t="s">
        <v>5</v>
      </c>
      <c r="L206" s="3" t="s">
        <v>97</v>
      </c>
      <c r="M206" s="4">
        <v>74900</v>
      </c>
      <c r="N206" s="5">
        <v>8.3000000000000007</v>
      </c>
      <c r="O206" s="4">
        <f t="shared" si="6"/>
        <v>6216.7</v>
      </c>
      <c r="P206" s="4">
        <f t="shared" si="7"/>
        <v>68683.3</v>
      </c>
      <c r="Q206" s="3" t="s">
        <v>34</v>
      </c>
      <c r="R206" s="3" t="s">
        <v>67</v>
      </c>
      <c r="S206" s="3" t="s">
        <v>67</v>
      </c>
      <c r="T206" s="3" t="s">
        <v>26</v>
      </c>
    </row>
    <row r="207" spans="1:20" ht="15" customHeight="1" x14ac:dyDescent="0.3">
      <c r="A207" s="3" t="s">
        <v>787</v>
      </c>
      <c r="B207" s="3" t="s">
        <v>213</v>
      </c>
      <c r="C207" s="3" t="s">
        <v>8</v>
      </c>
      <c r="D207" s="3" t="s">
        <v>788</v>
      </c>
      <c r="E207" s="3" t="s">
        <v>789</v>
      </c>
      <c r="F207" s="3" t="s">
        <v>79</v>
      </c>
      <c r="G207" s="3" t="s">
        <v>256</v>
      </c>
      <c r="H207" s="3" t="s">
        <v>21</v>
      </c>
      <c r="I207" s="3">
        <v>110</v>
      </c>
      <c r="J207" s="3" t="s">
        <v>96</v>
      </c>
      <c r="K207" s="3" t="s">
        <v>1</v>
      </c>
      <c r="L207" s="3" t="s">
        <v>103</v>
      </c>
      <c r="M207" s="4">
        <v>80900</v>
      </c>
      <c r="N207" s="5">
        <v>9.1999999999999993</v>
      </c>
      <c r="O207" s="4">
        <f t="shared" si="6"/>
        <v>7442.8</v>
      </c>
      <c r="P207" s="4">
        <f t="shared" si="7"/>
        <v>73457.2</v>
      </c>
      <c r="Q207" s="3" t="s">
        <v>40</v>
      </c>
      <c r="R207" s="3" t="s">
        <v>67</v>
      </c>
      <c r="S207" s="3" t="s">
        <v>67</v>
      </c>
      <c r="T207" s="3" t="s">
        <v>26</v>
      </c>
    </row>
    <row r="208" spans="1:20" ht="15" customHeight="1" x14ac:dyDescent="0.3">
      <c r="A208" s="3" t="s">
        <v>790</v>
      </c>
      <c r="B208" s="3" t="s">
        <v>114</v>
      </c>
      <c r="C208" s="3" t="s">
        <v>4</v>
      </c>
      <c r="D208" s="3" t="s">
        <v>791</v>
      </c>
      <c r="E208" s="3" t="s">
        <v>792</v>
      </c>
      <c r="F208" s="3" t="s">
        <v>117</v>
      </c>
      <c r="G208" s="3" t="s">
        <v>80</v>
      </c>
      <c r="H208" s="3" t="s">
        <v>22</v>
      </c>
      <c r="I208" s="3">
        <v>0</v>
      </c>
      <c r="J208" s="3" t="s">
        <v>65</v>
      </c>
      <c r="K208" s="3" t="s">
        <v>9</v>
      </c>
      <c r="L208" s="3" t="s">
        <v>74</v>
      </c>
      <c r="M208" s="4">
        <v>145000</v>
      </c>
      <c r="N208" s="5">
        <v>14.4</v>
      </c>
      <c r="O208" s="4">
        <f t="shared" si="6"/>
        <v>20880</v>
      </c>
      <c r="P208" s="4">
        <f t="shared" si="7"/>
        <v>124120</v>
      </c>
      <c r="Q208" s="3" t="s">
        <v>28</v>
      </c>
      <c r="R208" s="3" t="s">
        <v>67</v>
      </c>
      <c r="S208" s="3" t="s">
        <v>67</v>
      </c>
      <c r="T208" s="3" t="s">
        <v>26</v>
      </c>
    </row>
    <row r="209" spans="1:20" ht="15" customHeight="1" x14ac:dyDescent="0.3">
      <c r="A209" s="3" t="s">
        <v>793</v>
      </c>
      <c r="B209" s="3" t="s">
        <v>794</v>
      </c>
      <c r="C209" s="3" t="s">
        <v>8</v>
      </c>
      <c r="D209" s="3" t="s">
        <v>795</v>
      </c>
      <c r="E209" s="3" t="s">
        <v>796</v>
      </c>
      <c r="F209" s="3" t="s">
        <v>145</v>
      </c>
      <c r="G209" s="3" t="s">
        <v>222</v>
      </c>
      <c r="H209" s="3" t="s">
        <v>19</v>
      </c>
      <c r="I209" s="3">
        <v>155</v>
      </c>
      <c r="J209" s="3" t="s">
        <v>164</v>
      </c>
      <c r="K209" s="3" t="s">
        <v>3</v>
      </c>
      <c r="L209" s="3" t="s">
        <v>103</v>
      </c>
      <c r="M209" s="4">
        <v>167900</v>
      </c>
      <c r="N209" s="5">
        <v>9.6999999999999993</v>
      </c>
      <c r="O209" s="4">
        <f t="shared" si="6"/>
        <v>16286.299999999997</v>
      </c>
      <c r="P209" s="4">
        <f t="shared" si="7"/>
        <v>151613.70000000001</v>
      </c>
      <c r="Q209" s="3" t="s">
        <v>28</v>
      </c>
      <c r="R209" s="3" t="s">
        <v>67</v>
      </c>
      <c r="S209" s="3" t="s">
        <v>68</v>
      </c>
      <c r="T209" s="3" t="s">
        <v>32</v>
      </c>
    </row>
    <row r="210" spans="1:20" ht="15" customHeight="1" x14ac:dyDescent="0.3">
      <c r="A210" s="3" t="s">
        <v>797</v>
      </c>
      <c r="B210" s="3" t="s">
        <v>607</v>
      </c>
      <c r="C210" s="3" t="s">
        <v>15</v>
      </c>
      <c r="D210" s="3" t="s">
        <v>434</v>
      </c>
      <c r="E210" s="3" t="s">
        <v>798</v>
      </c>
      <c r="F210" s="3" t="s">
        <v>112</v>
      </c>
      <c r="G210" s="3" t="s">
        <v>256</v>
      </c>
      <c r="H210" s="3" t="s">
        <v>21</v>
      </c>
      <c r="I210" s="3">
        <v>110</v>
      </c>
      <c r="J210" s="3" t="s">
        <v>81</v>
      </c>
      <c r="K210" s="3" t="s">
        <v>11</v>
      </c>
      <c r="L210" s="3" t="s">
        <v>97</v>
      </c>
      <c r="M210" s="4">
        <v>80900</v>
      </c>
      <c r="N210" s="5">
        <v>5.7</v>
      </c>
      <c r="O210" s="4">
        <f t="shared" si="6"/>
        <v>4611.3</v>
      </c>
      <c r="P210" s="4">
        <f t="shared" si="7"/>
        <v>76288.7</v>
      </c>
      <c r="Q210" s="3" t="s">
        <v>28</v>
      </c>
      <c r="R210" s="3" t="s">
        <v>67</v>
      </c>
      <c r="S210" s="3" t="s">
        <v>67</v>
      </c>
      <c r="T210" s="3" t="s">
        <v>26</v>
      </c>
    </row>
    <row r="211" spans="1:20" ht="15" customHeight="1" x14ac:dyDescent="0.3">
      <c r="A211" s="3" t="s">
        <v>799</v>
      </c>
      <c r="B211" s="3" t="s">
        <v>493</v>
      </c>
      <c r="C211" s="3" t="s">
        <v>14</v>
      </c>
      <c r="D211" s="3" t="s">
        <v>800</v>
      </c>
      <c r="E211" s="3" t="s">
        <v>801</v>
      </c>
      <c r="F211" s="3" t="s">
        <v>145</v>
      </c>
      <c r="G211" s="3" t="s">
        <v>88</v>
      </c>
      <c r="H211" s="3" t="s">
        <v>18</v>
      </c>
      <c r="I211" s="3">
        <v>125</v>
      </c>
      <c r="J211" s="3" t="s">
        <v>65</v>
      </c>
      <c r="K211" s="3" t="s">
        <v>11</v>
      </c>
      <c r="L211" s="3" t="s">
        <v>97</v>
      </c>
      <c r="M211" s="4">
        <v>94900</v>
      </c>
      <c r="N211" s="5">
        <v>11.8</v>
      </c>
      <c r="O211" s="4">
        <f t="shared" si="6"/>
        <v>11198.2</v>
      </c>
      <c r="P211" s="4">
        <f t="shared" si="7"/>
        <v>83701.8</v>
      </c>
      <c r="Q211" s="3" t="s">
        <v>25</v>
      </c>
      <c r="R211" s="3" t="s">
        <v>68</v>
      </c>
      <c r="S211" s="3" t="s">
        <v>68</v>
      </c>
      <c r="T211" s="3" t="s">
        <v>26</v>
      </c>
    </row>
    <row r="212" spans="1:20" ht="15" customHeight="1" x14ac:dyDescent="0.3">
      <c r="A212" s="3" t="s">
        <v>802</v>
      </c>
      <c r="B212" s="3" t="s">
        <v>121</v>
      </c>
      <c r="C212" s="3" t="s">
        <v>13</v>
      </c>
      <c r="D212" s="3" t="s">
        <v>803</v>
      </c>
      <c r="E212" s="3" t="s">
        <v>804</v>
      </c>
      <c r="F212" s="3" t="s">
        <v>134</v>
      </c>
      <c r="G212" s="3" t="s">
        <v>135</v>
      </c>
      <c r="H212" s="3" t="s">
        <v>19</v>
      </c>
      <c r="I212" s="3">
        <v>160</v>
      </c>
      <c r="J212" s="3" t="s">
        <v>96</v>
      </c>
      <c r="K212" s="3" t="s">
        <v>11</v>
      </c>
      <c r="L212" s="3" t="s">
        <v>74</v>
      </c>
      <c r="M212" s="4">
        <v>124900</v>
      </c>
      <c r="N212" s="5">
        <v>9.5</v>
      </c>
      <c r="O212" s="4">
        <f t="shared" si="6"/>
        <v>11865.5</v>
      </c>
      <c r="P212" s="4">
        <f t="shared" si="7"/>
        <v>113034.5</v>
      </c>
      <c r="Q212" s="3" t="s">
        <v>40</v>
      </c>
      <c r="R212" s="3" t="s">
        <v>67</v>
      </c>
      <c r="S212" s="3" t="s">
        <v>67</v>
      </c>
      <c r="T212" s="3" t="s">
        <v>29</v>
      </c>
    </row>
    <row r="213" spans="1:20" ht="15" customHeight="1" x14ac:dyDescent="0.3">
      <c r="A213" s="3" t="s">
        <v>805</v>
      </c>
      <c r="B213" s="3" t="s">
        <v>806</v>
      </c>
      <c r="C213" s="3" t="s">
        <v>2</v>
      </c>
      <c r="D213" s="3" t="s">
        <v>431</v>
      </c>
      <c r="E213" s="3" t="s">
        <v>807</v>
      </c>
      <c r="F213" s="3" t="s">
        <v>145</v>
      </c>
      <c r="G213" s="3" t="s">
        <v>184</v>
      </c>
      <c r="H213" s="3" t="s">
        <v>18</v>
      </c>
      <c r="I213" s="3">
        <v>125</v>
      </c>
      <c r="J213" s="3" t="s">
        <v>102</v>
      </c>
      <c r="K213" s="3" t="s">
        <v>1</v>
      </c>
      <c r="L213" s="3" t="s">
        <v>136</v>
      </c>
      <c r="M213" s="4">
        <v>79900</v>
      </c>
      <c r="N213" s="5">
        <v>11.4</v>
      </c>
      <c r="O213" s="4">
        <f t="shared" si="6"/>
        <v>9108.6</v>
      </c>
      <c r="P213" s="4">
        <f t="shared" si="7"/>
        <v>70791.399999999994</v>
      </c>
      <c r="Q213" s="3" t="s">
        <v>25</v>
      </c>
      <c r="R213" s="3" t="s">
        <v>67</v>
      </c>
      <c r="S213" s="3" t="s">
        <v>68</v>
      </c>
      <c r="T213" s="3" t="s">
        <v>26</v>
      </c>
    </row>
    <row r="214" spans="1:20" ht="15" customHeight="1" x14ac:dyDescent="0.3">
      <c r="A214" s="3" t="s">
        <v>808</v>
      </c>
      <c r="B214" s="3" t="s">
        <v>809</v>
      </c>
      <c r="C214" s="3" t="s">
        <v>17</v>
      </c>
      <c r="D214" s="3" t="s">
        <v>195</v>
      </c>
      <c r="E214" s="3" t="s">
        <v>810</v>
      </c>
      <c r="F214" s="3" t="s">
        <v>79</v>
      </c>
      <c r="G214" s="3" t="s">
        <v>135</v>
      </c>
      <c r="H214" s="3" t="s">
        <v>19</v>
      </c>
      <c r="I214" s="3">
        <v>160</v>
      </c>
      <c r="J214" s="3" t="s">
        <v>102</v>
      </c>
      <c r="K214" s="3" t="s">
        <v>3</v>
      </c>
      <c r="L214" s="3" t="s">
        <v>103</v>
      </c>
      <c r="M214" s="4">
        <v>124900</v>
      </c>
      <c r="N214" s="5">
        <v>11.9</v>
      </c>
      <c r="O214" s="4">
        <f t="shared" si="6"/>
        <v>14863.1</v>
      </c>
      <c r="P214" s="4">
        <f t="shared" si="7"/>
        <v>110036.9</v>
      </c>
      <c r="Q214" s="3" t="s">
        <v>25</v>
      </c>
      <c r="R214" s="3" t="s">
        <v>67</v>
      </c>
      <c r="S214" s="3" t="s">
        <v>67</v>
      </c>
      <c r="T214" s="3" t="s">
        <v>26</v>
      </c>
    </row>
    <row r="215" spans="1:20" ht="15" customHeight="1" x14ac:dyDescent="0.3">
      <c r="A215" s="3" t="s">
        <v>811</v>
      </c>
      <c r="B215" s="3" t="s">
        <v>812</v>
      </c>
      <c r="C215" s="3" t="s">
        <v>8</v>
      </c>
      <c r="D215" s="3" t="s">
        <v>813</v>
      </c>
      <c r="E215" s="3" t="s">
        <v>814</v>
      </c>
      <c r="F215" s="3" t="s">
        <v>117</v>
      </c>
      <c r="G215" s="3" t="s">
        <v>169</v>
      </c>
      <c r="H215" s="3" t="s">
        <v>18</v>
      </c>
      <c r="I215" s="3">
        <v>162</v>
      </c>
      <c r="J215" s="3" t="s">
        <v>129</v>
      </c>
      <c r="K215" s="3" t="s">
        <v>9</v>
      </c>
      <c r="L215" s="3" t="s">
        <v>103</v>
      </c>
      <c r="M215" s="4">
        <v>124900</v>
      </c>
      <c r="N215" s="5">
        <v>4.2</v>
      </c>
      <c r="O215" s="4">
        <f t="shared" si="6"/>
        <v>5245.8</v>
      </c>
      <c r="P215" s="4">
        <f t="shared" si="7"/>
        <v>119654.2</v>
      </c>
      <c r="Q215" s="3" t="s">
        <v>25</v>
      </c>
      <c r="R215" s="3" t="s">
        <v>67</v>
      </c>
      <c r="S215" s="3" t="s">
        <v>67</v>
      </c>
      <c r="T215" s="3" t="s">
        <v>26</v>
      </c>
    </row>
    <row r="216" spans="1:20" ht="15" customHeight="1" x14ac:dyDescent="0.3">
      <c r="A216" s="3" t="s">
        <v>815</v>
      </c>
      <c r="B216" s="3" t="s">
        <v>142</v>
      </c>
      <c r="C216" s="3" t="s">
        <v>16</v>
      </c>
      <c r="D216" s="3" t="s">
        <v>269</v>
      </c>
      <c r="E216" s="3" t="s">
        <v>816</v>
      </c>
      <c r="F216" s="3" t="s">
        <v>155</v>
      </c>
      <c r="G216" s="3" t="s">
        <v>222</v>
      </c>
      <c r="H216" s="3" t="s">
        <v>19</v>
      </c>
      <c r="I216" s="3">
        <v>155</v>
      </c>
      <c r="J216" s="3" t="s">
        <v>164</v>
      </c>
      <c r="K216" s="3" t="s">
        <v>1</v>
      </c>
      <c r="L216" s="3" t="s">
        <v>90</v>
      </c>
      <c r="M216" s="4">
        <v>167900</v>
      </c>
      <c r="N216" s="5">
        <v>4.3</v>
      </c>
      <c r="O216" s="4">
        <f t="shared" si="6"/>
        <v>7219.7</v>
      </c>
      <c r="P216" s="4">
        <f t="shared" si="7"/>
        <v>160680.29999999999</v>
      </c>
      <c r="Q216" s="3" t="s">
        <v>36</v>
      </c>
      <c r="R216" s="3" t="s">
        <v>67</v>
      </c>
      <c r="S216" s="3" t="s">
        <v>68</v>
      </c>
      <c r="T216" s="3" t="s">
        <v>26</v>
      </c>
    </row>
    <row r="217" spans="1:20" ht="15" customHeight="1" x14ac:dyDescent="0.3">
      <c r="A217" s="3" t="s">
        <v>817</v>
      </c>
      <c r="B217" s="3" t="s">
        <v>489</v>
      </c>
      <c r="C217" s="3" t="s">
        <v>8</v>
      </c>
      <c r="D217" s="3" t="s">
        <v>167</v>
      </c>
      <c r="E217" s="3" t="s">
        <v>818</v>
      </c>
      <c r="F217" s="3" t="s">
        <v>134</v>
      </c>
      <c r="G217" s="3" t="s">
        <v>156</v>
      </c>
      <c r="H217" s="3" t="s">
        <v>21</v>
      </c>
      <c r="I217" s="3">
        <v>125</v>
      </c>
      <c r="J217" s="3" t="s">
        <v>96</v>
      </c>
      <c r="K217" s="3" t="s">
        <v>1</v>
      </c>
      <c r="L217" s="3" t="s">
        <v>136</v>
      </c>
      <c r="M217" s="4">
        <v>88900</v>
      </c>
      <c r="N217" s="5">
        <v>7.1</v>
      </c>
      <c r="O217" s="4">
        <f t="shared" si="6"/>
        <v>6311.9</v>
      </c>
      <c r="P217" s="4">
        <f t="shared" si="7"/>
        <v>82588.100000000006</v>
      </c>
      <c r="Q217" s="3" t="s">
        <v>34</v>
      </c>
      <c r="R217" s="3" t="s">
        <v>67</v>
      </c>
      <c r="S217" s="3" t="s">
        <v>68</v>
      </c>
      <c r="T217" s="3" t="s">
        <v>32</v>
      </c>
    </row>
    <row r="218" spans="1:20" ht="15" customHeight="1" x14ac:dyDescent="0.3">
      <c r="A218" s="3" t="s">
        <v>819</v>
      </c>
      <c r="B218" s="3" t="s">
        <v>437</v>
      </c>
      <c r="C218" s="3" t="s">
        <v>0</v>
      </c>
      <c r="D218" s="3" t="s">
        <v>820</v>
      </c>
      <c r="E218" s="3" t="s">
        <v>821</v>
      </c>
      <c r="F218" s="3" t="s">
        <v>79</v>
      </c>
      <c r="G218" s="3" t="s">
        <v>118</v>
      </c>
      <c r="H218" s="3" t="s">
        <v>20</v>
      </c>
      <c r="I218" s="3">
        <v>350</v>
      </c>
      <c r="J218" s="3" t="s">
        <v>96</v>
      </c>
      <c r="K218" s="3" t="s">
        <v>3</v>
      </c>
      <c r="L218" s="3" t="s">
        <v>90</v>
      </c>
      <c r="M218" s="4">
        <v>159900</v>
      </c>
      <c r="N218" s="5">
        <v>7.7</v>
      </c>
      <c r="O218" s="4">
        <f t="shared" si="6"/>
        <v>12312.3</v>
      </c>
      <c r="P218" s="4">
        <f t="shared" si="7"/>
        <v>147587.70000000001</v>
      </c>
      <c r="Q218" s="3" t="s">
        <v>36</v>
      </c>
      <c r="R218" s="3" t="s">
        <v>68</v>
      </c>
      <c r="S218" s="3" t="s">
        <v>68</v>
      </c>
      <c r="T218" s="3" t="s">
        <v>26</v>
      </c>
    </row>
    <row r="219" spans="1:20" ht="15" customHeight="1" x14ac:dyDescent="0.3">
      <c r="A219" s="3" t="s">
        <v>822</v>
      </c>
      <c r="B219" s="3" t="s">
        <v>186</v>
      </c>
      <c r="C219" s="3" t="s">
        <v>6</v>
      </c>
      <c r="D219" s="3" t="s">
        <v>823</v>
      </c>
      <c r="E219" s="3" t="s">
        <v>824</v>
      </c>
      <c r="F219" s="3" t="s">
        <v>145</v>
      </c>
      <c r="G219" s="3" t="s">
        <v>324</v>
      </c>
      <c r="H219" s="3" t="s">
        <v>19</v>
      </c>
      <c r="I219" s="3">
        <v>149</v>
      </c>
      <c r="J219" s="3" t="s">
        <v>102</v>
      </c>
      <c r="K219" s="3" t="s">
        <v>11</v>
      </c>
      <c r="L219" s="3" t="s">
        <v>90</v>
      </c>
      <c r="M219" s="4">
        <v>119900</v>
      </c>
      <c r="N219" s="5">
        <v>7</v>
      </c>
      <c r="O219" s="4">
        <f t="shared" si="6"/>
        <v>8393</v>
      </c>
      <c r="P219" s="4">
        <f t="shared" si="7"/>
        <v>111507</v>
      </c>
      <c r="Q219" s="3" t="s">
        <v>31</v>
      </c>
      <c r="R219" s="3" t="s">
        <v>67</v>
      </c>
      <c r="S219" s="3" t="s">
        <v>68</v>
      </c>
      <c r="T219" s="3" t="s">
        <v>26</v>
      </c>
    </row>
    <row r="220" spans="1:20" ht="15" customHeight="1" x14ac:dyDescent="0.3">
      <c r="A220" s="3" t="s">
        <v>825</v>
      </c>
      <c r="B220" s="3" t="s">
        <v>826</v>
      </c>
      <c r="C220" s="3" t="s">
        <v>0</v>
      </c>
      <c r="D220" s="3" t="s">
        <v>827</v>
      </c>
      <c r="E220" s="3" t="s">
        <v>828</v>
      </c>
      <c r="F220" s="3" t="s">
        <v>155</v>
      </c>
      <c r="G220" s="3" t="s">
        <v>73</v>
      </c>
      <c r="H220" s="3" t="s">
        <v>21</v>
      </c>
      <c r="I220" s="3">
        <v>110</v>
      </c>
      <c r="J220" s="3" t="s">
        <v>96</v>
      </c>
      <c r="K220" s="3" t="s">
        <v>9</v>
      </c>
      <c r="L220" s="3" t="s">
        <v>136</v>
      </c>
      <c r="M220" s="4">
        <v>79900</v>
      </c>
      <c r="N220" s="5">
        <v>10.6</v>
      </c>
      <c r="O220" s="4">
        <f t="shared" si="6"/>
        <v>8469.4</v>
      </c>
      <c r="P220" s="4">
        <f t="shared" si="7"/>
        <v>71430.600000000006</v>
      </c>
      <c r="Q220" s="3" t="s">
        <v>31</v>
      </c>
      <c r="R220" s="3" t="s">
        <v>67</v>
      </c>
      <c r="S220" s="3" t="s">
        <v>68</v>
      </c>
      <c r="T220" s="3" t="s">
        <v>29</v>
      </c>
    </row>
    <row r="221" spans="1:20" ht="15" customHeight="1" x14ac:dyDescent="0.3">
      <c r="A221" s="3" t="s">
        <v>829</v>
      </c>
      <c r="B221" s="3" t="s">
        <v>70</v>
      </c>
      <c r="C221" s="3" t="s">
        <v>2</v>
      </c>
      <c r="D221" s="3" t="s">
        <v>269</v>
      </c>
      <c r="E221" s="3" t="s">
        <v>830</v>
      </c>
      <c r="F221" s="3" t="s">
        <v>134</v>
      </c>
      <c r="G221" s="3" t="s">
        <v>211</v>
      </c>
      <c r="H221" s="3" t="s">
        <v>20</v>
      </c>
      <c r="I221" s="3">
        <v>350</v>
      </c>
      <c r="J221" s="3" t="s">
        <v>129</v>
      </c>
      <c r="K221" s="3" t="s">
        <v>9</v>
      </c>
      <c r="L221" s="3" t="s">
        <v>97</v>
      </c>
      <c r="M221" s="4">
        <v>199900</v>
      </c>
      <c r="N221" s="5">
        <v>13.5</v>
      </c>
      <c r="O221" s="4">
        <f t="shared" si="6"/>
        <v>26986.5</v>
      </c>
      <c r="P221" s="4">
        <f t="shared" si="7"/>
        <v>172913.5</v>
      </c>
      <c r="Q221" s="3" t="s">
        <v>38</v>
      </c>
      <c r="R221" s="3" t="s">
        <v>67</v>
      </c>
      <c r="S221" s="3" t="s">
        <v>67</v>
      </c>
      <c r="T221" s="3" t="s">
        <v>32</v>
      </c>
    </row>
    <row r="222" spans="1:20" ht="15" customHeight="1" x14ac:dyDescent="0.3">
      <c r="A222" s="3" t="s">
        <v>831</v>
      </c>
      <c r="B222" s="3" t="s">
        <v>722</v>
      </c>
      <c r="C222" s="3" t="s">
        <v>2</v>
      </c>
      <c r="D222" s="3" t="s">
        <v>832</v>
      </c>
      <c r="E222" s="3" t="s">
        <v>833</v>
      </c>
      <c r="F222" s="3" t="s">
        <v>63</v>
      </c>
      <c r="G222" s="3" t="s">
        <v>80</v>
      </c>
      <c r="H222" s="3" t="s">
        <v>22</v>
      </c>
      <c r="I222" s="3">
        <v>0</v>
      </c>
      <c r="J222" s="3" t="s">
        <v>102</v>
      </c>
      <c r="K222" s="3" t="s">
        <v>11</v>
      </c>
      <c r="L222" s="3" t="s">
        <v>103</v>
      </c>
      <c r="M222" s="4">
        <v>145000</v>
      </c>
      <c r="N222" s="5">
        <v>9.1</v>
      </c>
      <c r="O222" s="4">
        <f t="shared" si="6"/>
        <v>13195</v>
      </c>
      <c r="P222" s="4">
        <f t="shared" si="7"/>
        <v>131805</v>
      </c>
      <c r="Q222" s="3" t="s">
        <v>38</v>
      </c>
      <c r="R222" s="3" t="s">
        <v>67</v>
      </c>
      <c r="S222" s="3" t="s">
        <v>68</v>
      </c>
      <c r="T222" s="3" t="s">
        <v>32</v>
      </c>
    </row>
    <row r="223" spans="1:20" ht="15" customHeight="1" x14ac:dyDescent="0.3">
      <c r="A223" s="3" t="s">
        <v>834</v>
      </c>
      <c r="B223" s="3" t="s">
        <v>683</v>
      </c>
      <c r="C223" s="3" t="s">
        <v>12</v>
      </c>
      <c r="D223" s="3" t="s">
        <v>835</v>
      </c>
      <c r="E223" s="3" t="s">
        <v>836</v>
      </c>
      <c r="F223" s="3" t="s">
        <v>87</v>
      </c>
      <c r="G223" s="3" t="s">
        <v>146</v>
      </c>
      <c r="H223" s="3" t="s">
        <v>18</v>
      </c>
      <c r="I223" s="3">
        <v>110</v>
      </c>
      <c r="J223" s="3" t="s">
        <v>102</v>
      </c>
      <c r="K223" s="3" t="s">
        <v>3</v>
      </c>
      <c r="L223" s="3" t="s">
        <v>66</v>
      </c>
      <c r="M223" s="4">
        <v>74900</v>
      </c>
      <c r="N223" s="5">
        <v>15</v>
      </c>
      <c r="O223" s="4">
        <f t="shared" si="6"/>
        <v>11235</v>
      </c>
      <c r="P223" s="4">
        <f t="shared" si="7"/>
        <v>63665</v>
      </c>
      <c r="Q223" s="3" t="s">
        <v>25</v>
      </c>
      <c r="R223" s="3" t="s">
        <v>67</v>
      </c>
      <c r="S223" s="3" t="s">
        <v>68</v>
      </c>
      <c r="T223" s="3" t="s">
        <v>26</v>
      </c>
    </row>
    <row r="224" spans="1:20" ht="15" customHeight="1" x14ac:dyDescent="0.3">
      <c r="A224" s="3" t="s">
        <v>837</v>
      </c>
      <c r="B224" s="3" t="s">
        <v>293</v>
      </c>
      <c r="C224" s="3" t="s">
        <v>16</v>
      </c>
      <c r="D224" s="3" t="s">
        <v>838</v>
      </c>
      <c r="E224" s="3" t="s">
        <v>839</v>
      </c>
      <c r="F224" s="3" t="s">
        <v>174</v>
      </c>
      <c r="G224" s="3" t="s">
        <v>324</v>
      </c>
      <c r="H224" s="3" t="s">
        <v>19</v>
      </c>
      <c r="I224" s="3">
        <v>149</v>
      </c>
      <c r="J224" s="3" t="s">
        <v>65</v>
      </c>
      <c r="K224" s="3" t="s">
        <v>1</v>
      </c>
      <c r="L224" s="3" t="s">
        <v>82</v>
      </c>
      <c r="M224" s="4">
        <v>119900</v>
      </c>
      <c r="N224" s="5">
        <v>6.6</v>
      </c>
      <c r="O224" s="4">
        <f t="shared" si="6"/>
        <v>7913.4</v>
      </c>
      <c r="P224" s="4">
        <f t="shared" si="7"/>
        <v>111986.6</v>
      </c>
      <c r="Q224" s="3" t="s">
        <v>36</v>
      </c>
      <c r="R224" s="3" t="s">
        <v>67</v>
      </c>
      <c r="S224" s="3" t="s">
        <v>68</v>
      </c>
      <c r="T224" s="3" t="s">
        <v>26</v>
      </c>
    </row>
    <row r="225" spans="1:20" ht="15" customHeight="1" x14ac:dyDescent="0.3">
      <c r="A225" s="3" t="s">
        <v>840</v>
      </c>
      <c r="B225" s="3" t="s">
        <v>234</v>
      </c>
      <c r="C225" s="3" t="s">
        <v>14</v>
      </c>
      <c r="D225" s="3" t="s">
        <v>841</v>
      </c>
      <c r="E225" s="3" t="s">
        <v>842</v>
      </c>
      <c r="F225" s="3" t="s">
        <v>79</v>
      </c>
      <c r="G225" s="3" t="s">
        <v>324</v>
      </c>
      <c r="H225" s="3" t="s">
        <v>19</v>
      </c>
      <c r="I225" s="3">
        <v>149</v>
      </c>
      <c r="J225" s="3" t="s">
        <v>243</v>
      </c>
      <c r="K225" s="3" t="s">
        <v>9</v>
      </c>
      <c r="L225" s="3" t="s">
        <v>103</v>
      </c>
      <c r="M225" s="4">
        <v>119900</v>
      </c>
      <c r="N225" s="5">
        <v>14.8</v>
      </c>
      <c r="O225" s="4">
        <f t="shared" si="6"/>
        <v>17745.2</v>
      </c>
      <c r="P225" s="4">
        <f t="shared" si="7"/>
        <v>102154.8</v>
      </c>
      <c r="Q225" s="3" t="s">
        <v>38</v>
      </c>
      <c r="R225" s="3" t="s">
        <v>67</v>
      </c>
      <c r="S225" s="3" t="s">
        <v>67</v>
      </c>
      <c r="T225" s="3" t="s">
        <v>29</v>
      </c>
    </row>
    <row r="226" spans="1:20" ht="15" customHeight="1" x14ac:dyDescent="0.3">
      <c r="A226" s="3" t="s">
        <v>843</v>
      </c>
      <c r="B226" s="3" t="s">
        <v>109</v>
      </c>
      <c r="C226" s="3" t="s">
        <v>2</v>
      </c>
      <c r="D226" s="3" t="s">
        <v>844</v>
      </c>
      <c r="E226" s="3" t="s">
        <v>845</v>
      </c>
      <c r="F226" s="3" t="s">
        <v>134</v>
      </c>
      <c r="G226" s="3" t="s">
        <v>189</v>
      </c>
      <c r="H226" s="3" t="s">
        <v>18</v>
      </c>
      <c r="I226" s="3">
        <v>100</v>
      </c>
      <c r="J226" s="3" t="s">
        <v>179</v>
      </c>
      <c r="K226" s="3" t="s">
        <v>11</v>
      </c>
      <c r="L226" s="3" t="s">
        <v>206</v>
      </c>
      <c r="M226" s="4">
        <v>72900</v>
      </c>
      <c r="N226" s="5">
        <v>5.8</v>
      </c>
      <c r="O226" s="4">
        <f t="shared" si="6"/>
        <v>4228.2</v>
      </c>
      <c r="P226" s="4">
        <f t="shared" si="7"/>
        <v>68671.8</v>
      </c>
      <c r="Q226" s="3" t="s">
        <v>34</v>
      </c>
      <c r="R226" s="3" t="s">
        <v>68</v>
      </c>
      <c r="S226" s="3" t="s">
        <v>68</v>
      </c>
      <c r="T226" s="3" t="s">
        <v>26</v>
      </c>
    </row>
    <row r="227" spans="1:20" ht="15" customHeight="1" x14ac:dyDescent="0.3">
      <c r="A227" s="3" t="s">
        <v>846</v>
      </c>
      <c r="B227" s="3" t="s">
        <v>847</v>
      </c>
      <c r="C227" s="3" t="s">
        <v>13</v>
      </c>
      <c r="D227" s="3" t="s">
        <v>848</v>
      </c>
      <c r="E227" s="3" t="s">
        <v>849</v>
      </c>
      <c r="F227" s="3" t="s">
        <v>63</v>
      </c>
      <c r="G227" s="3" t="s">
        <v>256</v>
      </c>
      <c r="H227" s="3" t="s">
        <v>21</v>
      </c>
      <c r="I227" s="3">
        <v>110</v>
      </c>
      <c r="J227" s="3" t="s">
        <v>119</v>
      </c>
      <c r="K227" s="3" t="s">
        <v>11</v>
      </c>
      <c r="L227" s="3" t="s">
        <v>136</v>
      </c>
      <c r="M227" s="4">
        <v>80900</v>
      </c>
      <c r="N227" s="5">
        <v>14.6</v>
      </c>
      <c r="O227" s="4">
        <f t="shared" si="6"/>
        <v>11811.4</v>
      </c>
      <c r="P227" s="4">
        <f t="shared" si="7"/>
        <v>69088.600000000006</v>
      </c>
      <c r="Q227" s="3" t="s">
        <v>40</v>
      </c>
      <c r="R227" s="3" t="s">
        <v>68</v>
      </c>
      <c r="S227" s="3" t="s">
        <v>68</v>
      </c>
      <c r="T227" s="3" t="s">
        <v>26</v>
      </c>
    </row>
    <row r="228" spans="1:20" ht="15" customHeight="1" x14ac:dyDescent="0.3">
      <c r="A228" s="3" t="s">
        <v>850</v>
      </c>
      <c r="B228" s="3" t="s">
        <v>384</v>
      </c>
      <c r="C228" s="3" t="s">
        <v>15</v>
      </c>
      <c r="D228" s="3" t="s">
        <v>851</v>
      </c>
      <c r="E228" s="3" t="s">
        <v>852</v>
      </c>
      <c r="F228" s="3" t="s">
        <v>134</v>
      </c>
      <c r="G228" s="3" t="s">
        <v>189</v>
      </c>
      <c r="H228" s="3" t="s">
        <v>18</v>
      </c>
      <c r="I228" s="3">
        <v>100</v>
      </c>
      <c r="J228" s="3" t="s">
        <v>102</v>
      </c>
      <c r="K228" s="3" t="s">
        <v>1</v>
      </c>
      <c r="L228" s="3" t="s">
        <v>66</v>
      </c>
      <c r="M228" s="4">
        <v>72900</v>
      </c>
      <c r="N228" s="5">
        <v>6.9</v>
      </c>
      <c r="O228" s="4">
        <f t="shared" si="6"/>
        <v>5030.1000000000004</v>
      </c>
      <c r="P228" s="4">
        <f t="shared" si="7"/>
        <v>67869.899999999994</v>
      </c>
      <c r="Q228" s="3" t="s">
        <v>34</v>
      </c>
      <c r="R228" s="3" t="s">
        <v>68</v>
      </c>
      <c r="S228" s="3" t="s">
        <v>67</v>
      </c>
      <c r="T228" s="3" t="s">
        <v>29</v>
      </c>
    </row>
    <row r="229" spans="1:20" ht="15" customHeight="1" x14ac:dyDescent="0.3">
      <c r="A229" s="3" t="s">
        <v>853</v>
      </c>
      <c r="B229" s="3" t="s">
        <v>384</v>
      </c>
      <c r="C229" s="3" t="s">
        <v>15</v>
      </c>
      <c r="D229" s="3" t="s">
        <v>854</v>
      </c>
      <c r="E229" s="3" t="s">
        <v>855</v>
      </c>
      <c r="F229" s="3" t="s">
        <v>155</v>
      </c>
      <c r="G229" s="3" t="s">
        <v>316</v>
      </c>
      <c r="H229" s="3" t="s">
        <v>19</v>
      </c>
      <c r="I229" s="3">
        <v>150</v>
      </c>
      <c r="J229" s="3" t="s">
        <v>65</v>
      </c>
      <c r="K229" s="3" t="s">
        <v>5</v>
      </c>
      <c r="L229" s="3" t="s">
        <v>90</v>
      </c>
      <c r="M229" s="4">
        <v>109900</v>
      </c>
      <c r="N229" s="5">
        <v>14.9</v>
      </c>
      <c r="O229" s="4">
        <f t="shared" si="6"/>
        <v>16375.1</v>
      </c>
      <c r="P229" s="4">
        <f t="shared" si="7"/>
        <v>93524.9</v>
      </c>
      <c r="Q229" s="3" t="s">
        <v>40</v>
      </c>
      <c r="R229" s="3" t="s">
        <v>67</v>
      </c>
      <c r="S229" s="3" t="s">
        <v>68</v>
      </c>
      <c r="T229" s="3" t="s">
        <v>29</v>
      </c>
    </row>
    <row r="230" spans="1:20" ht="15" customHeight="1" x14ac:dyDescent="0.3">
      <c r="A230" s="3" t="s">
        <v>856</v>
      </c>
      <c r="B230" s="3" t="s">
        <v>437</v>
      </c>
      <c r="C230" s="3" t="s">
        <v>0</v>
      </c>
      <c r="D230" s="3" t="s">
        <v>857</v>
      </c>
      <c r="E230" s="3" t="s">
        <v>858</v>
      </c>
      <c r="F230" s="3" t="s">
        <v>155</v>
      </c>
      <c r="G230" s="3" t="s">
        <v>201</v>
      </c>
      <c r="H230" s="3" t="s">
        <v>19</v>
      </c>
      <c r="I230" s="3">
        <v>160</v>
      </c>
      <c r="J230" s="3" t="s">
        <v>65</v>
      </c>
      <c r="K230" s="3" t="s">
        <v>11</v>
      </c>
      <c r="L230" s="3" t="s">
        <v>103</v>
      </c>
      <c r="M230" s="4">
        <v>129900</v>
      </c>
      <c r="N230" s="5">
        <v>4.9000000000000004</v>
      </c>
      <c r="O230" s="4">
        <f t="shared" si="6"/>
        <v>6365.1</v>
      </c>
      <c r="P230" s="4">
        <f t="shared" si="7"/>
        <v>123534.9</v>
      </c>
      <c r="Q230" s="3" t="s">
        <v>28</v>
      </c>
      <c r="R230" s="3" t="s">
        <v>68</v>
      </c>
      <c r="S230" s="3" t="s">
        <v>68</v>
      </c>
      <c r="T230" s="3" t="s">
        <v>26</v>
      </c>
    </row>
    <row r="231" spans="1:20" ht="15" customHeight="1" x14ac:dyDescent="0.3">
      <c r="A231" s="3" t="s">
        <v>859</v>
      </c>
      <c r="B231" s="3" t="s">
        <v>467</v>
      </c>
      <c r="C231" s="3" t="s">
        <v>14</v>
      </c>
      <c r="D231" s="3" t="s">
        <v>860</v>
      </c>
      <c r="E231" s="3" t="s">
        <v>861</v>
      </c>
      <c r="F231" s="3" t="s">
        <v>134</v>
      </c>
      <c r="G231" s="3" t="s">
        <v>88</v>
      </c>
      <c r="H231" s="3" t="s">
        <v>18</v>
      </c>
      <c r="I231" s="3">
        <v>125</v>
      </c>
      <c r="J231" s="3" t="s">
        <v>179</v>
      </c>
      <c r="K231" s="3" t="s">
        <v>11</v>
      </c>
      <c r="L231" s="3" t="s">
        <v>103</v>
      </c>
      <c r="M231" s="4">
        <v>94900</v>
      </c>
      <c r="N231" s="5">
        <v>5.8</v>
      </c>
      <c r="O231" s="4">
        <f t="shared" si="6"/>
        <v>5504.2</v>
      </c>
      <c r="P231" s="4">
        <f t="shared" si="7"/>
        <v>89395.8</v>
      </c>
      <c r="Q231" s="3" t="s">
        <v>40</v>
      </c>
      <c r="R231" s="3" t="s">
        <v>67</v>
      </c>
      <c r="S231" s="3" t="s">
        <v>67</v>
      </c>
      <c r="T231" s="3" t="s">
        <v>29</v>
      </c>
    </row>
    <row r="232" spans="1:20" ht="15" customHeight="1" x14ac:dyDescent="0.3">
      <c r="A232" s="3" t="s">
        <v>862</v>
      </c>
      <c r="B232" s="3" t="s">
        <v>579</v>
      </c>
      <c r="C232" s="3" t="s">
        <v>0</v>
      </c>
      <c r="D232" s="3" t="s">
        <v>863</v>
      </c>
      <c r="E232" s="3" t="s">
        <v>864</v>
      </c>
      <c r="F232" s="3" t="s">
        <v>117</v>
      </c>
      <c r="G232" s="3" t="s">
        <v>146</v>
      </c>
      <c r="H232" s="3" t="s">
        <v>18</v>
      </c>
      <c r="I232" s="3">
        <v>110</v>
      </c>
      <c r="J232" s="3" t="s">
        <v>81</v>
      </c>
      <c r="K232" s="3" t="s">
        <v>5</v>
      </c>
      <c r="L232" s="3" t="s">
        <v>82</v>
      </c>
      <c r="M232" s="4">
        <v>74900</v>
      </c>
      <c r="N232" s="5">
        <v>6</v>
      </c>
      <c r="O232" s="4">
        <f t="shared" si="6"/>
        <v>4494</v>
      </c>
      <c r="P232" s="4">
        <f t="shared" si="7"/>
        <v>70406</v>
      </c>
      <c r="Q232" s="3" t="s">
        <v>40</v>
      </c>
      <c r="R232" s="3" t="s">
        <v>67</v>
      </c>
      <c r="S232" s="3" t="s">
        <v>68</v>
      </c>
      <c r="T232" s="3" t="s">
        <v>26</v>
      </c>
    </row>
    <row r="233" spans="1:20" ht="15" customHeight="1" x14ac:dyDescent="0.3">
      <c r="A233" s="3" t="s">
        <v>865</v>
      </c>
      <c r="B233" s="3" t="s">
        <v>60</v>
      </c>
      <c r="C233" s="3" t="s">
        <v>10</v>
      </c>
      <c r="D233" s="3" t="s">
        <v>585</v>
      </c>
      <c r="E233" s="3" t="s">
        <v>866</v>
      </c>
      <c r="F233" s="3" t="s">
        <v>155</v>
      </c>
      <c r="G233" s="3" t="s">
        <v>211</v>
      </c>
      <c r="H233" s="3" t="s">
        <v>20</v>
      </c>
      <c r="I233" s="3">
        <v>350</v>
      </c>
      <c r="J233" s="3" t="s">
        <v>164</v>
      </c>
      <c r="K233" s="3" t="s">
        <v>1</v>
      </c>
      <c r="L233" s="3" t="s">
        <v>66</v>
      </c>
      <c r="M233" s="4">
        <v>199900</v>
      </c>
      <c r="N233" s="5">
        <v>9.6999999999999993</v>
      </c>
      <c r="O233" s="4">
        <f t="shared" si="6"/>
        <v>19390.3</v>
      </c>
      <c r="P233" s="4">
        <f t="shared" si="7"/>
        <v>180509.7</v>
      </c>
      <c r="Q233" s="3" t="s">
        <v>31</v>
      </c>
      <c r="R233" s="3" t="s">
        <v>67</v>
      </c>
      <c r="S233" s="3" t="s">
        <v>68</v>
      </c>
      <c r="T233" s="3" t="s">
        <v>32</v>
      </c>
    </row>
    <row r="234" spans="1:20" ht="15" customHeight="1" x14ac:dyDescent="0.3">
      <c r="A234" s="3" t="s">
        <v>867</v>
      </c>
      <c r="B234" s="3" t="s">
        <v>809</v>
      </c>
      <c r="C234" s="3" t="s">
        <v>17</v>
      </c>
      <c r="D234" s="3" t="s">
        <v>868</v>
      </c>
      <c r="E234" s="3" t="s">
        <v>869</v>
      </c>
      <c r="F234" s="3" t="s">
        <v>117</v>
      </c>
      <c r="G234" s="3" t="s">
        <v>73</v>
      </c>
      <c r="H234" s="3" t="s">
        <v>21</v>
      </c>
      <c r="I234" s="3">
        <v>110</v>
      </c>
      <c r="J234" s="3" t="s">
        <v>96</v>
      </c>
      <c r="K234" s="3" t="s">
        <v>7</v>
      </c>
      <c r="L234" s="3" t="s">
        <v>66</v>
      </c>
      <c r="M234" s="4">
        <v>79900</v>
      </c>
      <c r="N234" s="5">
        <v>10.6</v>
      </c>
      <c r="O234" s="4">
        <f t="shared" si="6"/>
        <v>8469.4</v>
      </c>
      <c r="P234" s="4">
        <f t="shared" si="7"/>
        <v>71430.600000000006</v>
      </c>
      <c r="Q234" s="3" t="s">
        <v>28</v>
      </c>
      <c r="R234" s="3" t="s">
        <v>67</v>
      </c>
      <c r="S234" s="3" t="s">
        <v>68</v>
      </c>
      <c r="T234" s="3" t="s">
        <v>29</v>
      </c>
    </row>
    <row r="235" spans="1:20" ht="15" customHeight="1" x14ac:dyDescent="0.3">
      <c r="A235" s="3" t="s">
        <v>870</v>
      </c>
      <c r="B235" s="3" t="s">
        <v>203</v>
      </c>
      <c r="C235" s="3" t="s">
        <v>10</v>
      </c>
      <c r="D235" s="3" t="s">
        <v>132</v>
      </c>
      <c r="E235" s="3" t="s">
        <v>871</v>
      </c>
      <c r="F235" s="3" t="s">
        <v>124</v>
      </c>
      <c r="G235" s="3" t="s">
        <v>64</v>
      </c>
      <c r="H235" s="3" t="s">
        <v>19</v>
      </c>
      <c r="I235" s="3">
        <v>200</v>
      </c>
      <c r="J235" s="3" t="s">
        <v>129</v>
      </c>
      <c r="K235" s="3" t="s">
        <v>3</v>
      </c>
      <c r="L235" s="3" t="s">
        <v>74</v>
      </c>
      <c r="M235" s="4">
        <v>199900</v>
      </c>
      <c r="N235" s="5">
        <v>7.9</v>
      </c>
      <c r="O235" s="4">
        <f t="shared" si="6"/>
        <v>15792.1</v>
      </c>
      <c r="P235" s="4">
        <f t="shared" si="7"/>
        <v>184107.9</v>
      </c>
      <c r="Q235" s="3" t="s">
        <v>40</v>
      </c>
      <c r="R235" s="3" t="s">
        <v>67</v>
      </c>
      <c r="S235" s="3" t="s">
        <v>67</v>
      </c>
      <c r="T235" s="3" t="s">
        <v>26</v>
      </c>
    </row>
    <row r="236" spans="1:20" ht="15" customHeight="1" x14ac:dyDescent="0.3">
      <c r="A236" s="3" t="s">
        <v>872</v>
      </c>
      <c r="B236" s="3" t="s">
        <v>873</v>
      </c>
      <c r="C236" s="3" t="s">
        <v>6</v>
      </c>
      <c r="D236" s="3" t="s">
        <v>874</v>
      </c>
      <c r="E236" s="3" t="s">
        <v>875</v>
      </c>
      <c r="F236" s="3" t="s">
        <v>145</v>
      </c>
      <c r="G236" s="3" t="s">
        <v>73</v>
      </c>
      <c r="H236" s="3" t="s">
        <v>21</v>
      </c>
      <c r="I236" s="3">
        <v>110</v>
      </c>
      <c r="J236" s="3" t="s">
        <v>102</v>
      </c>
      <c r="K236" s="3" t="s">
        <v>3</v>
      </c>
      <c r="L236" s="3" t="s">
        <v>103</v>
      </c>
      <c r="M236" s="4">
        <v>79900</v>
      </c>
      <c r="N236" s="5">
        <v>12.1</v>
      </c>
      <c r="O236" s="4">
        <f t="shared" si="6"/>
        <v>9667.9</v>
      </c>
      <c r="P236" s="4">
        <f t="shared" si="7"/>
        <v>70232.100000000006</v>
      </c>
      <c r="Q236" s="3" t="s">
        <v>28</v>
      </c>
      <c r="R236" s="3" t="s">
        <v>67</v>
      </c>
      <c r="S236" s="3" t="s">
        <v>68</v>
      </c>
      <c r="T236" s="3" t="s">
        <v>29</v>
      </c>
    </row>
    <row r="237" spans="1:20" ht="15" customHeight="1" x14ac:dyDescent="0.3">
      <c r="A237" s="3" t="s">
        <v>876</v>
      </c>
      <c r="B237" s="3" t="s">
        <v>421</v>
      </c>
      <c r="C237" s="3" t="s">
        <v>15</v>
      </c>
      <c r="D237" s="3" t="s">
        <v>877</v>
      </c>
      <c r="E237" s="3" t="s">
        <v>878</v>
      </c>
      <c r="F237" s="3" t="s">
        <v>174</v>
      </c>
      <c r="G237" s="3" t="s">
        <v>80</v>
      </c>
      <c r="H237" s="3" t="s">
        <v>22</v>
      </c>
      <c r="I237" s="3">
        <v>0</v>
      </c>
      <c r="J237" s="3" t="s">
        <v>164</v>
      </c>
      <c r="K237" s="3" t="s">
        <v>5</v>
      </c>
      <c r="L237" s="3" t="s">
        <v>136</v>
      </c>
      <c r="M237" s="4">
        <v>145000</v>
      </c>
      <c r="N237" s="5">
        <v>8.8000000000000007</v>
      </c>
      <c r="O237" s="4">
        <f t="shared" si="6"/>
        <v>12760</v>
      </c>
      <c r="P237" s="4">
        <f t="shared" si="7"/>
        <v>132240</v>
      </c>
      <c r="Q237" s="3" t="s">
        <v>38</v>
      </c>
      <c r="R237" s="3" t="s">
        <v>67</v>
      </c>
      <c r="S237" s="3" t="s">
        <v>68</v>
      </c>
      <c r="T237" s="3" t="s">
        <v>26</v>
      </c>
    </row>
    <row r="238" spans="1:20" ht="15" customHeight="1" x14ac:dyDescent="0.3">
      <c r="A238" s="3" t="s">
        <v>879</v>
      </c>
      <c r="B238" s="3" t="s">
        <v>607</v>
      </c>
      <c r="C238" s="3" t="s">
        <v>15</v>
      </c>
      <c r="D238" s="3" t="s">
        <v>880</v>
      </c>
      <c r="E238" s="3" t="s">
        <v>881</v>
      </c>
      <c r="F238" s="3" t="s">
        <v>117</v>
      </c>
      <c r="G238" s="3" t="s">
        <v>184</v>
      </c>
      <c r="H238" s="3" t="s">
        <v>18</v>
      </c>
      <c r="I238" s="3">
        <v>125</v>
      </c>
      <c r="J238" s="3" t="s">
        <v>96</v>
      </c>
      <c r="K238" s="3" t="s">
        <v>3</v>
      </c>
      <c r="L238" s="3" t="s">
        <v>74</v>
      </c>
      <c r="M238" s="4">
        <v>79900</v>
      </c>
      <c r="N238" s="5">
        <v>13.4</v>
      </c>
      <c r="O238" s="4">
        <f t="shared" si="6"/>
        <v>10706.6</v>
      </c>
      <c r="P238" s="4">
        <f t="shared" si="7"/>
        <v>69193.399999999994</v>
      </c>
      <c r="Q238" s="3" t="s">
        <v>40</v>
      </c>
      <c r="R238" s="3" t="s">
        <v>67</v>
      </c>
      <c r="S238" s="3" t="s">
        <v>67</v>
      </c>
      <c r="T238" s="3" t="s">
        <v>26</v>
      </c>
    </row>
    <row r="239" spans="1:20" ht="15" customHeight="1" x14ac:dyDescent="0.3">
      <c r="A239" s="3" t="s">
        <v>882</v>
      </c>
      <c r="B239" s="3" t="s">
        <v>806</v>
      </c>
      <c r="C239" s="3" t="s">
        <v>2</v>
      </c>
      <c r="D239" s="3" t="s">
        <v>883</v>
      </c>
      <c r="E239" s="3" t="s">
        <v>884</v>
      </c>
      <c r="F239" s="3" t="s">
        <v>112</v>
      </c>
      <c r="G239" s="3" t="s">
        <v>146</v>
      </c>
      <c r="H239" s="3" t="s">
        <v>18</v>
      </c>
      <c r="I239" s="3">
        <v>110</v>
      </c>
      <c r="J239" s="3" t="s">
        <v>102</v>
      </c>
      <c r="K239" s="3" t="s">
        <v>1</v>
      </c>
      <c r="L239" s="3" t="s">
        <v>82</v>
      </c>
      <c r="M239" s="4">
        <v>74900</v>
      </c>
      <c r="N239" s="5">
        <v>8.6</v>
      </c>
      <c r="O239" s="4">
        <f t="shared" si="6"/>
        <v>6441.4</v>
      </c>
      <c r="P239" s="4">
        <f t="shared" si="7"/>
        <v>68458.600000000006</v>
      </c>
      <c r="Q239" s="3" t="s">
        <v>31</v>
      </c>
      <c r="R239" s="3" t="s">
        <v>67</v>
      </c>
      <c r="S239" s="3" t="s">
        <v>68</v>
      </c>
      <c r="T239" s="3" t="s">
        <v>29</v>
      </c>
    </row>
    <row r="240" spans="1:20" ht="15" customHeight="1" x14ac:dyDescent="0.3">
      <c r="A240" s="3" t="s">
        <v>885</v>
      </c>
      <c r="B240" s="3" t="s">
        <v>176</v>
      </c>
      <c r="C240" s="3" t="s">
        <v>16</v>
      </c>
      <c r="D240" s="3" t="s">
        <v>886</v>
      </c>
      <c r="E240" s="3" t="s">
        <v>887</v>
      </c>
      <c r="F240" s="3" t="s">
        <v>145</v>
      </c>
      <c r="G240" s="3" t="s">
        <v>189</v>
      </c>
      <c r="H240" s="3" t="s">
        <v>18</v>
      </c>
      <c r="I240" s="3">
        <v>100</v>
      </c>
      <c r="J240" s="3" t="s">
        <v>129</v>
      </c>
      <c r="K240" s="3" t="s">
        <v>3</v>
      </c>
      <c r="L240" s="3" t="s">
        <v>66</v>
      </c>
      <c r="M240" s="4">
        <v>72900</v>
      </c>
      <c r="N240" s="5">
        <v>9.9</v>
      </c>
      <c r="O240" s="4">
        <f t="shared" si="6"/>
        <v>7217.1</v>
      </c>
      <c r="P240" s="4">
        <f t="shared" si="7"/>
        <v>65682.899999999994</v>
      </c>
      <c r="Q240" s="3" t="s">
        <v>25</v>
      </c>
      <c r="R240" s="3" t="s">
        <v>68</v>
      </c>
      <c r="S240" s="3" t="s">
        <v>67</v>
      </c>
      <c r="T240" s="3" t="s">
        <v>26</v>
      </c>
    </row>
    <row r="241" spans="1:20" ht="15" customHeight="1" x14ac:dyDescent="0.3">
      <c r="A241" s="3" t="s">
        <v>888</v>
      </c>
      <c r="B241" s="3" t="s">
        <v>158</v>
      </c>
      <c r="C241" s="3" t="s">
        <v>10</v>
      </c>
      <c r="D241" s="3" t="s">
        <v>889</v>
      </c>
      <c r="E241" s="3" t="s">
        <v>890</v>
      </c>
      <c r="F241" s="3" t="s">
        <v>134</v>
      </c>
      <c r="G241" s="3" t="s">
        <v>201</v>
      </c>
      <c r="H241" s="3" t="s">
        <v>19</v>
      </c>
      <c r="I241" s="3">
        <v>160</v>
      </c>
      <c r="J241" s="3" t="s">
        <v>129</v>
      </c>
      <c r="K241" s="3" t="s">
        <v>3</v>
      </c>
      <c r="L241" s="3" t="s">
        <v>66</v>
      </c>
      <c r="M241" s="4">
        <v>129900</v>
      </c>
      <c r="N241" s="5">
        <v>11.2</v>
      </c>
      <c r="O241" s="4">
        <f t="shared" si="6"/>
        <v>14548.8</v>
      </c>
      <c r="P241" s="4">
        <f t="shared" si="7"/>
        <v>115351.2</v>
      </c>
      <c r="Q241" s="3" t="s">
        <v>36</v>
      </c>
      <c r="R241" s="3" t="s">
        <v>67</v>
      </c>
      <c r="S241" s="3" t="s">
        <v>67</v>
      </c>
      <c r="T241" s="3" t="s">
        <v>26</v>
      </c>
    </row>
    <row r="242" spans="1:20" ht="15" customHeight="1" x14ac:dyDescent="0.3">
      <c r="A242" s="3" t="s">
        <v>891</v>
      </c>
      <c r="B242" s="3" t="s">
        <v>467</v>
      </c>
      <c r="C242" s="3" t="s">
        <v>14</v>
      </c>
      <c r="D242" s="3" t="s">
        <v>892</v>
      </c>
      <c r="E242" s="3" t="s">
        <v>893</v>
      </c>
      <c r="F242" s="3" t="s">
        <v>63</v>
      </c>
      <c r="G242" s="3" t="s">
        <v>64</v>
      </c>
      <c r="H242" s="3" t="s">
        <v>19</v>
      </c>
      <c r="I242" s="3">
        <v>200</v>
      </c>
      <c r="J242" s="3" t="s">
        <v>119</v>
      </c>
      <c r="K242" s="3" t="s">
        <v>3</v>
      </c>
      <c r="L242" s="3" t="s">
        <v>97</v>
      </c>
      <c r="M242" s="4">
        <v>199900</v>
      </c>
      <c r="N242" s="5">
        <v>6.3</v>
      </c>
      <c r="O242" s="4">
        <f t="shared" si="6"/>
        <v>12593.7</v>
      </c>
      <c r="P242" s="4">
        <f t="shared" si="7"/>
        <v>187306.3</v>
      </c>
      <c r="Q242" s="3" t="s">
        <v>31</v>
      </c>
      <c r="R242" s="3" t="s">
        <v>67</v>
      </c>
      <c r="S242" s="3" t="s">
        <v>68</v>
      </c>
      <c r="T242" s="3" t="s">
        <v>26</v>
      </c>
    </row>
    <row r="243" spans="1:20" ht="15" customHeight="1" x14ac:dyDescent="0.3">
      <c r="A243" s="3" t="s">
        <v>894</v>
      </c>
      <c r="B243" s="3" t="s">
        <v>362</v>
      </c>
      <c r="C243" s="3" t="s">
        <v>2</v>
      </c>
      <c r="D243" s="3" t="s">
        <v>895</v>
      </c>
      <c r="E243" s="3" t="s">
        <v>896</v>
      </c>
      <c r="F243" s="3" t="s">
        <v>134</v>
      </c>
      <c r="G243" s="3" t="s">
        <v>64</v>
      </c>
      <c r="H243" s="3" t="s">
        <v>19</v>
      </c>
      <c r="I243" s="3">
        <v>200</v>
      </c>
      <c r="J243" s="3" t="s">
        <v>243</v>
      </c>
      <c r="K243" s="3" t="s">
        <v>1</v>
      </c>
      <c r="L243" s="3" t="s">
        <v>103</v>
      </c>
      <c r="M243" s="4">
        <v>199900</v>
      </c>
      <c r="N243" s="5">
        <v>11.3</v>
      </c>
      <c r="O243" s="4">
        <f t="shared" si="6"/>
        <v>22588.7</v>
      </c>
      <c r="P243" s="4">
        <f t="shared" si="7"/>
        <v>177311.3</v>
      </c>
      <c r="Q243" s="3" t="s">
        <v>36</v>
      </c>
      <c r="R243" s="3" t="s">
        <v>67</v>
      </c>
      <c r="S243" s="3" t="s">
        <v>67</v>
      </c>
      <c r="T243" s="3" t="s">
        <v>26</v>
      </c>
    </row>
    <row r="244" spans="1:20" ht="15" customHeight="1" x14ac:dyDescent="0.3">
      <c r="A244" s="3" t="s">
        <v>897</v>
      </c>
      <c r="B244" s="3" t="s">
        <v>318</v>
      </c>
      <c r="C244" s="3" t="s">
        <v>10</v>
      </c>
      <c r="D244" s="3" t="s">
        <v>898</v>
      </c>
      <c r="E244" s="3" t="s">
        <v>899</v>
      </c>
      <c r="F244" s="3" t="s">
        <v>134</v>
      </c>
      <c r="G244" s="3" t="s">
        <v>201</v>
      </c>
      <c r="H244" s="3" t="s">
        <v>19</v>
      </c>
      <c r="I244" s="3">
        <v>160</v>
      </c>
      <c r="J244" s="3" t="s">
        <v>89</v>
      </c>
      <c r="K244" s="3" t="s">
        <v>3</v>
      </c>
      <c r="L244" s="3" t="s">
        <v>74</v>
      </c>
      <c r="M244" s="4">
        <v>129900</v>
      </c>
      <c r="N244" s="5">
        <v>12.1</v>
      </c>
      <c r="O244" s="4">
        <f t="shared" si="6"/>
        <v>15717.9</v>
      </c>
      <c r="P244" s="4">
        <f t="shared" si="7"/>
        <v>114182.1</v>
      </c>
      <c r="Q244" s="3" t="s">
        <v>25</v>
      </c>
      <c r="R244" s="3" t="s">
        <v>67</v>
      </c>
      <c r="S244" s="3" t="s">
        <v>68</v>
      </c>
      <c r="T244" s="3" t="s">
        <v>26</v>
      </c>
    </row>
    <row r="245" spans="1:20" ht="15" customHeight="1" x14ac:dyDescent="0.3">
      <c r="A245" s="3" t="s">
        <v>900</v>
      </c>
      <c r="B245" s="3" t="s">
        <v>901</v>
      </c>
      <c r="C245" s="3" t="s">
        <v>6</v>
      </c>
      <c r="D245" s="3" t="s">
        <v>902</v>
      </c>
      <c r="E245" s="3" t="s">
        <v>903</v>
      </c>
      <c r="F245" s="3" t="s">
        <v>145</v>
      </c>
      <c r="G245" s="3" t="s">
        <v>256</v>
      </c>
      <c r="H245" s="3" t="s">
        <v>21</v>
      </c>
      <c r="I245" s="3">
        <v>110</v>
      </c>
      <c r="J245" s="3" t="s">
        <v>164</v>
      </c>
      <c r="K245" s="3" t="s">
        <v>1</v>
      </c>
      <c r="L245" s="3" t="s">
        <v>136</v>
      </c>
      <c r="M245" s="4">
        <v>80900</v>
      </c>
      <c r="N245" s="5">
        <v>13.9</v>
      </c>
      <c r="O245" s="4">
        <f t="shared" si="6"/>
        <v>11245.1</v>
      </c>
      <c r="P245" s="4">
        <f t="shared" si="7"/>
        <v>69654.899999999994</v>
      </c>
      <c r="Q245" s="3" t="s">
        <v>36</v>
      </c>
      <c r="R245" s="3" t="s">
        <v>68</v>
      </c>
      <c r="S245" s="3" t="s">
        <v>68</v>
      </c>
      <c r="T245" s="3" t="s">
        <v>26</v>
      </c>
    </row>
    <row r="246" spans="1:20" ht="15" customHeight="1" x14ac:dyDescent="0.3">
      <c r="A246" s="3" t="s">
        <v>904</v>
      </c>
      <c r="B246" s="3" t="s">
        <v>176</v>
      </c>
      <c r="C246" s="3" t="s">
        <v>10</v>
      </c>
      <c r="D246" s="3" t="s">
        <v>905</v>
      </c>
      <c r="E246" s="3" t="s">
        <v>906</v>
      </c>
      <c r="F246" s="3" t="s">
        <v>155</v>
      </c>
      <c r="G246" s="3" t="s">
        <v>169</v>
      </c>
      <c r="H246" s="3" t="s">
        <v>18</v>
      </c>
      <c r="I246" s="3">
        <v>162</v>
      </c>
      <c r="J246" s="3" t="s">
        <v>96</v>
      </c>
      <c r="K246" s="3" t="s">
        <v>9</v>
      </c>
      <c r="L246" s="3" t="s">
        <v>103</v>
      </c>
      <c r="M246" s="4">
        <v>124900</v>
      </c>
      <c r="N246" s="5">
        <v>10.1</v>
      </c>
      <c r="O246" s="4">
        <f t="shared" si="6"/>
        <v>12614.9</v>
      </c>
      <c r="P246" s="4">
        <f t="shared" si="7"/>
        <v>112285.1</v>
      </c>
      <c r="Q246" s="3" t="s">
        <v>40</v>
      </c>
      <c r="R246" s="3" t="s">
        <v>67</v>
      </c>
      <c r="S246" s="3" t="s">
        <v>68</v>
      </c>
      <c r="T246" s="3" t="s">
        <v>26</v>
      </c>
    </row>
    <row r="247" spans="1:20" ht="15" customHeight="1" x14ac:dyDescent="0.3">
      <c r="A247" s="3" t="s">
        <v>907</v>
      </c>
      <c r="B247" s="3" t="s">
        <v>497</v>
      </c>
      <c r="C247" s="3" t="s">
        <v>17</v>
      </c>
      <c r="D247" s="3" t="s">
        <v>908</v>
      </c>
      <c r="E247" s="3" t="s">
        <v>909</v>
      </c>
      <c r="F247" s="3" t="s">
        <v>174</v>
      </c>
      <c r="G247" s="3" t="s">
        <v>95</v>
      </c>
      <c r="H247" s="3" t="s">
        <v>22</v>
      </c>
      <c r="I247" s="3">
        <v>0</v>
      </c>
      <c r="J247" s="3" t="s">
        <v>164</v>
      </c>
      <c r="K247" s="3" t="s">
        <v>11</v>
      </c>
      <c r="L247" s="3" t="s">
        <v>66</v>
      </c>
      <c r="M247" s="4">
        <v>139999</v>
      </c>
      <c r="N247" s="5">
        <v>14.1</v>
      </c>
      <c r="O247" s="4">
        <f t="shared" si="6"/>
        <v>19739.859</v>
      </c>
      <c r="P247" s="4">
        <f t="shared" si="7"/>
        <v>120259.141</v>
      </c>
      <c r="Q247" s="3" t="s">
        <v>40</v>
      </c>
      <c r="R247" s="3" t="s">
        <v>67</v>
      </c>
      <c r="S247" s="3" t="s">
        <v>68</v>
      </c>
      <c r="T247" s="3" t="s">
        <v>29</v>
      </c>
    </row>
    <row r="248" spans="1:20" ht="15" customHeight="1" x14ac:dyDescent="0.3">
      <c r="A248" s="3" t="s">
        <v>910</v>
      </c>
      <c r="B248" s="3" t="s">
        <v>911</v>
      </c>
      <c r="C248" s="3" t="s">
        <v>17</v>
      </c>
      <c r="D248" s="3" t="s">
        <v>912</v>
      </c>
      <c r="E248" s="3" t="s">
        <v>913</v>
      </c>
      <c r="F248" s="3" t="s">
        <v>145</v>
      </c>
      <c r="G248" s="3" t="s">
        <v>211</v>
      </c>
      <c r="H248" s="3" t="s">
        <v>20</v>
      </c>
      <c r="I248" s="3">
        <v>350</v>
      </c>
      <c r="J248" s="3" t="s">
        <v>164</v>
      </c>
      <c r="K248" s="3" t="s">
        <v>9</v>
      </c>
      <c r="L248" s="3" t="s">
        <v>103</v>
      </c>
      <c r="M248" s="4">
        <v>199900</v>
      </c>
      <c r="N248" s="5">
        <v>9.3000000000000007</v>
      </c>
      <c r="O248" s="4">
        <f t="shared" si="6"/>
        <v>18590.7</v>
      </c>
      <c r="P248" s="4">
        <f t="shared" si="7"/>
        <v>181309.3</v>
      </c>
      <c r="Q248" s="3" t="s">
        <v>38</v>
      </c>
      <c r="R248" s="3" t="s">
        <v>67</v>
      </c>
      <c r="S248" s="3" t="s">
        <v>68</v>
      </c>
      <c r="T248" s="3" t="s">
        <v>26</v>
      </c>
    </row>
    <row r="249" spans="1:20" ht="15" customHeight="1" x14ac:dyDescent="0.3">
      <c r="A249" s="3" t="s">
        <v>914</v>
      </c>
      <c r="B249" s="3" t="s">
        <v>181</v>
      </c>
      <c r="C249" s="3" t="s">
        <v>4</v>
      </c>
      <c r="D249" s="3" t="s">
        <v>915</v>
      </c>
      <c r="E249" s="3" t="s">
        <v>916</v>
      </c>
      <c r="F249" s="3" t="s">
        <v>155</v>
      </c>
      <c r="G249" s="3" t="s">
        <v>95</v>
      </c>
      <c r="H249" s="3" t="s">
        <v>22</v>
      </c>
      <c r="I249" s="3">
        <v>0</v>
      </c>
      <c r="J249" s="3" t="s">
        <v>89</v>
      </c>
      <c r="K249" s="3" t="s">
        <v>5</v>
      </c>
      <c r="L249" s="3" t="s">
        <v>74</v>
      </c>
      <c r="M249" s="4">
        <v>139999</v>
      </c>
      <c r="N249" s="5">
        <v>4.5</v>
      </c>
      <c r="O249" s="4">
        <f t="shared" si="6"/>
        <v>6299.9549999999999</v>
      </c>
      <c r="P249" s="4">
        <f t="shared" si="7"/>
        <v>133699.04500000001</v>
      </c>
      <c r="Q249" s="3" t="s">
        <v>34</v>
      </c>
      <c r="R249" s="3" t="s">
        <v>67</v>
      </c>
      <c r="S249" s="3" t="s">
        <v>67</v>
      </c>
      <c r="T249" s="3" t="s">
        <v>26</v>
      </c>
    </row>
    <row r="250" spans="1:20" ht="15" customHeight="1" x14ac:dyDescent="0.3">
      <c r="A250" s="3" t="s">
        <v>917</v>
      </c>
      <c r="B250" s="3" t="s">
        <v>722</v>
      </c>
      <c r="C250" s="3" t="s">
        <v>2</v>
      </c>
      <c r="D250" s="3" t="s">
        <v>918</v>
      </c>
      <c r="E250" s="3" t="s">
        <v>919</v>
      </c>
      <c r="F250" s="3" t="s">
        <v>87</v>
      </c>
      <c r="G250" s="3" t="s">
        <v>316</v>
      </c>
      <c r="H250" s="3" t="s">
        <v>19</v>
      </c>
      <c r="I250" s="3">
        <v>150</v>
      </c>
      <c r="J250" s="3" t="s">
        <v>243</v>
      </c>
      <c r="K250" s="3" t="s">
        <v>7</v>
      </c>
      <c r="L250" s="3" t="s">
        <v>206</v>
      </c>
      <c r="M250" s="4">
        <v>109900</v>
      </c>
      <c r="N250" s="5">
        <v>15</v>
      </c>
      <c r="O250" s="4">
        <f t="shared" si="6"/>
        <v>16485</v>
      </c>
      <c r="P250" s="4">
        <f t="shared" si="7"/>
        <v>93415</v>
      </c>
      <c r="Q250" s="3" t="s">
        <v>34</v>
      </c>
      <c r="R250" s="3" t="s">
        <v>68</v>
      </c>
      <c r="S250" s="3" t="s">
        <v>68</v>
      </c>
      <c r="T250" s="3" t="s">
        <v>26</v>
      </c>
    </row>
    <row r="251" spans="1:20" ht="15" customHeight="1" x14ac:dyDescent="0.3">
      <c r="A251" s="3" t="s">
        <v>920</v>
      </c>
      <c r="B251" s="3" t="s">
        <v>809</v>
      </c>
      <c r="C251" s="3" t="s">
        <v>17</v>
      </c>
      <c r="D251" s="3" t="s">
        <v>921</v>
      </c>
      <c r="E251" s="3" t="s">
        <v>922</v>
      </c>
      <c r="F251" s="3" t="s">
        <v>112</v>
      </c>
      <c r="G251" s="3" t="s">
        <v>64</v>
      </c>
      <c r="H251" s="3" t="s">
        <v>19</v>
      </c>
      <c r="I251" s="3">
        <v>200</v>
      </c>
      <c r="J251" s="3" t="s">
        <v>96</v>
      </c>
      <c r="K251" s="3" t="s">
        <v>9</v>
      </c>
      <c r="L251" s="3" t="s">
        <v>66</v>
      </c>
      <c r="M251" s="4">
        <v>199900</v>
      </c>
      <c r="N251" s="5">
        <v>10.5</v>
      </c>
      <c r="O251" s="4">
        <f t="shared" si="6"/>
        <v>20989.5</v>
      </c>
      <c r="P251" s="4">
        <f t="shared" si="7"/>
        <v>178910.5</v>
      </c>
      <c r="Q251" s="3" t="s">
        <v>25</v>
      </c>
      <c r="R251" s="3" t="s">
        <v>67</v>
      </c>
      <c r="S251" s="3" t="s">
        <v>68</v>
      </c>
      <c r="T251" s="3" t="s">
        <v>26</v>
      </c>
    </row>
    <row r="252" spans="1:20" ht="15" customHeight="1" x14ac:dyDescent="0.3">
      <c r="A252" s="3" t="s">
        <v>923</v>
      </c>
      <c r="B252" s="3" t="s">
        <v>924</v>
      </c>
      <c r="C252" s="3" t="s">
        <v>14</v>
      </c>
      <c r="D252" s="3" t="s">
        <v>925</v>
      </c>
      <c r="E252" s="3" t="s">
        <v>926</v>
      </c>
      <c r="F252" s="3" t="s">
        <v>79</v>
      </c>
      <c r="G252" s="3" t="s">
        <v>324</v>
      </c>
      <c r="H252" s="3" t="s">
        <v>19</v>
      </c>
      <c r="I252" s="3">
        <v>149</v>
      </c>
      <c r="J252" s="3" t="s">
        <v>243</v>
      </c>
      <c r="K252" s="3" t="s">
        <v>11</v>
      </c>
      <c r="L252" s="3" t="s">
        <v>206</v>
      </c>
      <c r="M252" s="4">
        <v>119900</v>
      </c>
      <c r="N252" s="5">
        <v>14</v>
      </c>
      <c r="O252" s="4">
        <f t="shared" si="6"/>
        <v>16786</v>
      </c>
      <c r="P252" s="4">
        <f t="shared" si="7"/>
        <v>103114</v>
      </c>
      <c r="Q252" s="3" t="s">
        <v>40</v>
      </c>
      <c r="R252" s="3" t="s">
        <v>67</v>
      </c>
      <c r="S252" s="3" t="s">
        <v>68</v>
      </c>
      <c r="T252" s="3" t="s">
        <v>26</v>
      </c>
    </row>
    <row r="253" spans="1:20" ht="15" customHeight="1" x14ac:dyDescent="0.3">
      <c r="A253" s="3" t="s">
        <v>927</v>
      </c>
      <c r="B253" s="3" t="s">
        <v>105</v>
      </c>
      <c r="C253" s="3" t="s">
        <v>13</v>
      </c>
      <c r="D253" s="3" t="s">
        <v>153</v>
      </c>
      <c r="E253" s="3" t="s">
        <v>928</v>
      </c>
      <c r="F253" s="3" t="s">
        <v>145</v>
      </c>
      <c r="G253" s="3" t="s">
        <v>211</v>
      </c>
      <c r="H253" s="3" t="s">
        <v>20</v>
      </c>
      <c r="I253" s="3">
        <v>350</v>
      </c>
      <c r="J253" s="3" t="s">
        <v>89</v>
      </c>
      <c r="K253" s="3" t="s">
        <v>5</v>
      </c>
      <c r="L253" s="3" t="s">
        <v>103</v>
      </c>
      <c r="M253" s="4">
        <v>199900</v>
      </c>
      <c r="N253" s="5">
        <v>14</v>
      </c>
      <c r="O253" s="4">
        <f t="shared" si="6"/>
        <v>27986</v>
      </c>
      <c r="P253" s="4">
        <f t="shared" si="7"/>
        <v>171914</v>
      </c>
      <c r="Q253" s="3" t="s">
        <v>25</v>
      </c>
      <c r="R253" s="3" t="s">
        <v>67</v>
      </c>
      <c r="S253" s="3" t="s">
        <v>68</v>
      </c>
      <c r="T253" s="3" t="s">
        <v>26</v>
      </c>
    </row>
    <row r="254" spans="1:20" ht="15" customHeight="1" x14ac:dyDescent="0.3">
      <c r="A254" s="3" t="s">
        <v>929</v>
      </c>
      <c r="B254" s="3" t="s">
        <v>448</v>
      </c>
      <c r="C254" s="3" t="s">
        <v>17</v>
      </c>
      <c r="D254" s="3" t="s">
        <v>618</v>
      </c>
      <c r="E254" s="3" t="s">
        <v>930</v>
      </c>
      <c r="F254" s="3" t="s">
        <v>174</v>
      </c>
      <c r="G254" s="3" t="s">
        <v>64</v>
      </c>
      <c r="H254" s="3" t="s">
        <v>19</v>
      </c>
      <c r="I254" s="3">
        <v>200</v>
      </c>
      <c r="J254" s="3" t="s">
        <v>119</v>
      </c>
      <c r="K254" s="3" t="s">
        <v>7</v>
      </c>
      <c r="L254" s="3" t="s">
        <v>82</v>
      </c>
      <c r="M254" s="4">
        <v>199900</v>
      </c>
      <c r="N254" s="5">
        <v>14.1</v>
      </c>
      <c r="O254" s="4">
        <f t="shared" si="6"/>
        <v>28185.9</v>
      </c>
      <c r="P254" s="4">
        <f t="shared" si="7"/>
        <v>171714.1</v>
      </c>
      <c r="Q254" s="3" t="s">
        <v>31</v>
      </c>
      <c r="R254" s="3" t="s">
        <v>67</v>
      </c>
      <c r="S254" s="3" t="s">
        <v>67</v>
      </c>
      <c r="T254" s="3" t="s">
        <v>32</v>
      </c>
    </row>
    <row r="255" spans="1:20" ht="15" customHeight="1" x14ac:dyDescent="0.3">
      <c r="A255" s="3" t="s">
        <v>931</v>
      </c>
      <c r="B255" s="3" t="s">
        <v>304</v>
      </c>
      <c r="C255" s="3" t="s">
        <v>2</v>
      </c>
      <c r="D255" s="3" t="s">
        <v>932</v>
      </c>
      <c r="E255" s="3" t="s">
        <v>933</v>
      </c>
      <c r="F255" s="3" t="s">
        <v>124</v>
      </c>
      <c r="G255" s="3" t="s">
        <v>118</v>
      </c>
      <c r="H255" s="3" t="s">
        <v>20</v>
      </c>
      <c r="I255" s="3">
        <v>350</v>
      </c>
      <c r="J255" s="3" t="s">
        <v>81</v>
      </c>
      <c r="K255" s="3" t="s">
        <v>7</v>
      </c>
      <c r="L255" s="3" t="s">
        <v>90</v>
      </c>
      <c r="M255" s="4">
        <v>159900</v>
      </c>
      <c r="N255" s="5">
        <v>14.2</v>
      </c>
      <c r="O255" s="4">
        <f t="shared" si="6"/>
        <v>22705.8</v>
      </c>
      <c r="P255" s="4">
        <f t="shared" si="7"/>
        <v>137194.20000000001</v>
      </c>
      <c r="Q255" s="3" t="s">
        <v>36</v>
      </c>
      <c r="R255" s="3" t="s">
        <v>68</v>
      </c>
      <c r="S255" s="3" t="s">
        <v>68</v>
      </c>
      <c r="T255" s="3" t="s">
        <v>32</v>
      </c>
    </row>
    <row r="256" spans="1:20" ht="15" customHeight="1" x14ac:dyDescent="0.3">
      <c r="A256" s="3" t="s">
        <v>934</v>
      </c>
      <c r="B256" s="3" t="s">
        <v>621</v>
      </c>
      <c r="C256" s="3" t="s">
        <v>13</v>
      </c>
      <c r="D256" s="3" t="s">
        <v>935</v>
      </c>
      <c r="E256" s="3" t="s">
        <v>936</v>
      </c>
      <c r="F256" s="3" t="s">
        <v>63</v>
      </c>
      <c r="G256" s="3" t="s">
        <v>222</v>
      </c>
      <c r="H256" s="3" t="s">
        <v>19</v>
      </c>
      <c r="I256" s="3">
        <v>155</v>
      </c>
      <c r="J256" s="3" t="s">
        <v>89</v>
      </c>
      <c r="K256" s="3" t="s">
        <v>7</v>
      </c>
      <c r="L256" s="3" t="s">
        <v>82</v>
      </c>
      <c r="M256" s="4">
        <v>167900</v>
      </c>
      <c r="N256" s="5">
        <v>9.1</v>
      </c>
      <c r="O256" s="4">
        <f t="shared" si="6"/>
        <v>15278.9</v>
      </c>
      <c r="P256" s="4">
        <f t="shared" si="7"/>
        <v>152621.1</v>
      </c>
      <c r="Q256" s="3" t="s">
        <v>38</v>
      </c>
      <c r="R256" s="3" t="s">
        <v>68</v>
      </c>
      <c r="S256" s="3" t="s">
        <v>67</v>
      </c>
      <c r="T256" s="3" t="s">
        <v>26</v>
      </c>
    </row>
    <row r="257" spans="1:20" ht="15" customHeight="1" x14ac:dyDescent="0.3">
      <c r="A257" s="3" t="s">
        <v>937</v>
      </c>
      <c r="B257" s="3" t="s">
        <v>938</v>
      </c>
      <c r="C257" s="3" t="s">
        <v>6</v>
      </c>
      <c r="D257" s="3" t="s">
        <v>939</v>
      </c>
      <c r="E257" s="3" t="s">
        <v>940</v>
      </c>
      <c r="F257" s="3" t="s">
        <v>134</v>
      </c>
      <c r="G257" s="3" t="s">
        <v>95</v>
      </c>
      <c r="H257" s="3" t="s">
        <v>22</v>
      </c>
      <c r="I257" s="3">
        <v>0</v>
      </c>
      <c r="J257" s="3" t="s">
        <v>89</v>
      </c>
      <c r="K257" s="3" t="s">
        <v>7</v>
      </c>
      <c r="L257" s="3" t="s">
        <v>97</v>
      </c>
      <c r="M257" s="4">
        <v>139999</v>
      </c>
      <c r="N257" s="5">
        <v>4.0999999999999996</v>
      </c>
      <c r="O257" s="4">
        <f t="shared" si="6"/>
        <v>5739.9589999999989</v>
      </c>
      <c r="P257" s="4">
        <f t="shared" si="7"/>
        <v>134259.041</v>
      </c>
      <c r="Q257" s="3" t="s">
        <v>25</v>
      </c>
      <c r="R257" s="3" t="s">
        <v>68</v>
      </c>
      <c r="S257" s="3" t="s">
        <v>67</v>
      </c>
      <c r="T257" s="3" t="s">
        <v>26</v>
      </c>
    </row>
    <row r="258" spans="1:20" ht="15" customHeight="1" x14ac:dyDescent="0.3">
      <c r="A258" s="3" t="s">
        <v>941</v>
      </c>
      <c r="B258" s="3" t="s">
        <v>105</v>
      </c>
      <c r="C258" s="3" t="s">
        <v>13</v>
      </c>
      <c r="D258" s="3" t="s">
        <v>880</v>
      </c>
      <c r="E258" s="3" t="s">
        <v>942</v>
      </c>
      <c r="F258" s="3" t="s">
        <v>145</v>
      </c>
      <c r="G258" s="3" t="s">
        <v>95</v>
      </c>
      <c r="H258" s="3" t="s">
        <v>22</v>
      </c>
      <c r="I258" s="3">
        <v>0</v>
      </c>
      <c r="J258" s="3" t="s">
        <v>96</v>
      </c>
      <c r="K258" s="3" t="s">
        <v>1</v>
      </c>
      <c r="L258" s="3" t="s">
        <v>74</v>
      </c>
      <c r="M258" s="4">
        <v>139999</v>
      </c>
      <c r="N258" s="5">
        <v>13.1</v>
      </c>
      <c r="O258" s="4">
        <f t="shared" ref="O258:O321" si="8">M258*N258/100</f>
        <v>18339.868999999999</v>
      </c>
      <c r="P258" s="4">
        <f t="shared" ref="P258:P321" si="9">M258-O258</f>
        <v>121659.13099999999</v>
      </c>
      <c r="Q258" s="3" t="s">
        <v>40</v>
      </c>
      <c r="R258" s="3" t="s">
        <v>67</v>
      </c>
      <c r="S258" s="3" t="s">
        <v>68</v>
      </c>
      <c r="T258" s="3" t="s">
        <v>26</v>
      </c>
    </row>
    <row r="259" spans="1:20" ht="15" customHeight="1" x14ac:dyDescent="0.3">
      <c r="A259" s="3" t="s">
        <v>943</v>
      </c>
      <c r="B259" s="3" t="s">
        <v>639</v>
      </c>
      <c r="C259" s="3" t="s">
        <v>16</v>
      </c>
      <c r="D259" s="3" t="s">
        <v>944</v>
      </c>
      <c r="E259" s="3" t="s">
        <v>945</v>
      </c>
      <c r="F259" s="3" t="s">
        <v>155</v>
      </c>
      <c r="G259" s="3" t="s">
        <v>324</v>
      </c>
      <c r="H259" s="3" t="s">
        <v>19</v>
      </c>
      <c r="I259" s="3">
        <v>149</v>
      </c>
      <c r="J259" s="3" t="s">
        <v>81</v>
      </c>
      <c r="K259" s="3" t="s">
        <v>5</v>
      </c>
      <c r="L259" s="3" t="s">
        <v>206</v>
      </c>
      <c r="M259" s="4">
        <v>119900</v>
      </c>
      <c r="N259" s="5">
        <v>4</v>
      </c>
      <c r="O259" s="4">
        <f t="shared" si="8"/>
        <v>4796</v>
      </c>
      <c r="P259" s="4">
        <f t="shared" si="9"/>
        <v>115104</v>
      </c>
      <c r="Q259" s="3" t="s">
        <v>40</v>
      </c>
      <c r="R259" s="3" t="s">
        <v>67</v>
      </c>
      <c r="S259" s="3" t="s">
        <v>68</v>
      </c>
      <c r="T259" s="3" t="s">
        <v>26</v>
      </c>
    </row>
    <row r="260" spans="1:20" ht="15" customHeight="1" x14ac:dyDescent="0.3">
      <c r="A260" s="3" t="s">
        <v>946</v>
      </c>
      <c r="B260" s="3" t="s">
        <v>148</v>
      </c>
      <c r="C260" s="3" t="s">
        <v>8</v>
      </c>
      <c r="D260" s="3" t="s">
        <v>513</v>
      </c>
      <c r="E260" s="3" t="s">
        <v>947</v>
      </c>
      <c r="F260" s="3" t="s">
        <v>155</v>
      </c>
      <c r="G260" s="3" t="s">
        <v>80</v>
      </c>
      <c r="H260" s="3" t="s">
        <v>22</v>
      </c>
      <c r="I260" s="3">
        <v>0</v>
      </c>
      <c r="J260" s="3" t="s">
        <v>243</v>
      </c>
      <c r="K260" s="3" t="s">
        <v>3</v>
      </c>
      <c r="L260" s="3" t="s">
        <v>74</v>
      </c>
      <c r="M260" s="4">
        <v>145000</v>
      </c>
      <c r="N260" s="5">
        <v>12.6</v>
      </c>
      <c r="O260" s="4">
        <f t="shared" si="8"/>
        <v>18270</v>
      </c>
      <c r="P260" s="4">
        <f t="shared" si="9"/>
        <v>126730</v>
      </c>
      <c r="Q260" s="3" t="s">
        <v>28</v>
      </c>
      <c r="R260" s="3" t="s">
        <v>67</v>
      </c>
      <c r="S260" s="3" t="s">
        <v>68</v>
      </c>
      <c r="T260" s="3" t="s">
        <v>26</v>
      </c>
    </row>
    <row r="261" spans="1:20" ht="15" customHeight="1" x14ac:dyDescent="0.3">
      <c r="A261" s="3" t="s">
        <v>948</v>
      </c>
      <c r="B261" s="3" t="s">
        <v>326</v>
      </c>
      <c r="C261" s="3" t="s">
        <v>0</v>
      </c>
      <c r="D261" s="3" t="s">
        <v>949</v>
      </c>
      <c r="E261" s="3" t="s">
        <v>950</v>
      </c>
      <c r="F261" s="3" t="s">
        <v>87</v>
      </c>
      <c r="G261" s="3" t="s">
        <v>211</v>
      </c>
      <c r="H261" s="3" t="s">
        <v>20</v>
      </c>
      <c r="I261" s="3">
        <v>350</v>
      </c>
      <c r="J261" s="3" t="s">
        <v>102</v>
      </c>
      <c r="K261" s="3" t="s">
        <v>5</v>
      </c>
      <c r="L261" s="3" t="s">
        <v>66</v>
      </c>
      <c r="M261" s="4">
        <v>199900</v>
      </c>
      <c r="N261" s="5">
        <v>8.5</v>
      </c>
      <c r="O261" s="4">
        <f t="shared" si="8"/>
        <v>16991.5</v>
      </c>
      <c r="P261" s="4">
        <f t="shared" si="9"/>
        <v>182908.5</v>
      </c>
      <c r="Q261" s="3" t="s">
        <v>25</v>
      </c>
      <c r="R261" s="3" t="s">
        <v>68</v>
      </c>
      <c r="S261" s="3" t="s">
        <v>67</v>
      </c>
      <c r="T261" s="3" t="s">
        <v>26</v>
      </c>
    </row>
    <row r="262" spans="1:20" ht="15" customHeight="1" x14ac:dyDescent="0.3">
      <c r="A262" s="3" t="s">
        <v>951</v>
      </c>
      <c r="B262" s="3" t="s">
        <v>467</v>
      </c>
      <c r="C262" s="3" t="s">
        <v>14</v>
      </c>
      <c r="D262" s="3" t="s">
        <v>558</v>
      </c>
      <c r="E262" s="3" t="s">
        <v>952</v>
      </c>
      <c r="F262" s="3" t="s">
        <v>155</v>
      </c>
      <c r="G262" s="3" t="s">
        <v>156</v>
      </c>
      <c r="H262" s="3" t="s">
        <v>21</v>
      </c>
      <c r="I262" s="3">
        <v>125</v>
      </c>
      <c r="J262" s="3" t="s">
        <v>119</v>
      </c>
      <c r="K262" s="3" t="s">
        <v>7</v>
      </c>
      <c r="L262" s="3" t="s">
        <v>206</v>
      </c>
      <c r="M262" s="4">
        <v>88900</v>
      </c>
      <c r="N262" s="5">
        <v>5.4</v>
      </c>
      <c r="O262" s="4">
        <f t="shared" si="8"/>
        <v>4800.6000000000004</v>
      </c>
      <c r="P262" s="4">
        <f t="shared" si="9"/>
        <v>84099.4</v>
      </c>
      <c r="Q262" s="3" t="s">
        <v>34</v>
      </c>
      <c r="R262" s="3" t="s">
        <v>67</v>
      </c>
      <c r="S262" s="3" t="s">
        <v>67</v>
      </c>
      <c r="T262" s="3" t="s">
        <v>32</v>
      </c>
    </row>
    <row r="263" spans="1:20" ht="15" customHeight="1" x14ac:dyDescent="0.3">
      <c r="A263" s="3" t="s">
        <v>953</v>
      </c>
      <c r="B263" s="3" t="s">
        <v>573</v>
      </c>
      <c r="C263" s="3" t="s">
        <v>12</v>
      </c>
      <c r="D263" s="3" t="s">
        <v>954</v>
      </c>
      <c r="E263" s="3" t="s">
        <v>955</v>
      </c>
      <c r="F263" s="3" t="s">
        <v>124</v>
      </c>
      <c r="G263" s="3" t="s">
        <v>135</v>
      </c>
      <c r="H263" s="3" t="s">
        <v>19</v>
      </c>
      <c r="I263" s="3">
        <v>160</v>
      </c>
      <c r="J263" s="3" t="s">
        <v>129</v>
      </c>
      <c r="K263" s="3" t="s">
        <v>3</v>
      </c>
      <c r="L263" s="3" t="s">
        <v>97</v>
      </c>
      <c r="M263" s="4">
        <v>124900</v>
      </c>
      <c r="N263" s="5">
        <v>12.8</v>
      </c>
      <c r="O263" s="4">
        <f t="shared" si="8"/>
        <v>15987.2</v>
      </c>
      <c r="P263" s="4">
        <f t="shared" si="9"/>
        <v>108912.8</v>
      </c>
      <c r="Q263" s="3" t="s">
        <v>38</v>
      </c>
      <c r="R263" s="3" t="s">
        <v>67</v>
      </c>
      <c r="S263" s="3" t="s">
        <v>68</v>
      </c>
      <c r="T263" s="3" t="s">
        <v>26</v>
      </c>
    </row>
    <row r="264" spans="1:20" ht="15" customHeight="1" x14ac:dyDescent="0.3">
      <c r="A264" s="3" t="s">
        <v>956</v>
      </c>
      <c r="B264" s="3" t="s">
        <v>245</v>
      </c>
      <c r="C264" s="3" t="s">
        <v>14</v>
      </c>
      <c r="D264" s="3" t="s">
        <v>800</v>
      </c>
      <c r="E264" s="3" t="s">
        <v>957</v>
      </c>
      <c r="F264" s="3" t="s">
        <v>174</v>
      </c>
      <c r="G264" s="3" t="s">
        <v>256</v>
      </c>
      <c r="H264" s="3" t="s">
        <v>21</v>
      </c>
      <c r="I264" s="3">
        <v>110</v>
      </c>
      <c r="J264" s="3" t="s">
        <v>81</v>
      </c>
      <c r="K264" s="3" t="s">
        <v>3</v>
      </c>
      <c r="L264" s="3" t="s">
        <v>82</v>
      </c>
      <c r="M264" s="4">
        <v>80900</v>
      </c>
      <c r="N264" s="5">
        <v>12.3</v>
      </c>
      <c r="O264" s="4">
        <f t="shared" si="8"/>
        <v>9950.7000000000007</v>
      </c>
      <c r="P264" s="4">
        <f t="shared" si="9"/>
        <v>70949.3</v>
      </c>
      <c r="Q264" s="3" t="s">
        <v>34</v>
      </c>
      <c r="R264" s="3" t="s">
        <v>67</v>
      </c>
      <c r="S264" s="3" t="s">
        <v>67</v>
      </c>
      <c r="T264" s="3" t="s">
        <v>26</v>
      </c>
    </row>
    <row r="265" spans="1:20" ht="15" customHeight="1" x14ac:dyDescent="0.3">
      <c r="A265" s="3" t="s">
        <v>958</v>
      </c>
      <c r="B265" s="3" t="s">
        <v>304</v>
      </c>
      <c r="C265" s="3" t="s">
        <v>2</v>
      </c>
      <c r="D265" s="3" t="s">
        <v>407</v>
      </c>
      <c r="E265" s="3" t="s">
        <v>959</v>
      </c>
      <c r="F265" s="3" t="s">
        <v>174</v>
      </c>
      <c r="G265" s="3" t="s">
        <v>222</v>
      </c>
      <c r="H265" s="3" t="s">
        <v>19</v>
      </c>
      <c r="I265" s="3">
        <v>155</v>
      </c>
      <c r="J265" s="3" t="s">
        <v>89</v>
      </c>
      <c r="K265" s="3" t="s">
        <v>3</v>
      </c>
      <c r="L265" s="3" t="s">
        <v>136</v>
      </c>
      <c r="M265" s="4">
        <v>167900</v>
      </c>
      <c r="N265" s="5">
        <v>14.1</v>
      </c>
      <c r="O265" s="4">
        <f t="shared" si="8"/>
        <v>23673.9</v>
      </c>
      <c r="P265" s="4">
        <f t="shared" si="9"/>
        <v>144226.1</v>
      </c>
      <c r="Q265" s="3" t="s">
        <v>40</v>
      </c>
      <c r="R265" s="3" t="s">
        <v>67</v>
      </c>
      <c r="S265" s="3" t="s">
        <v>68</v>
      </c>
      <c r="T265" s="3" t="s">
        <v>26</v>
      </c>
    </row>
    <row r="266" spans="1:20" ht="15" customHeight="1" x14ac:dyDescent="0.3">
      <c r="A266" s="3" t="s">
        <v>960</v>
      </c>
      <c r="B266" s="3" t="s">
        <v>261</v>
      </c>
      <c r="C266" s="3" t="s">
        <v>13</v>
      </c>
      <c r="D266" s="3" t="s">
        <v>498</v>
      </c>
      <c r="E266" s="3" t="s">
        <v>961</v>
      </c>
      <c r="F266" s="3" t="s">
        <v>134</v>
      </c>
      <c r="G266" s="3" t="s">
        <v>211</v>
      </c>
      <c r="H266" s="3" t="s">
        <v>20</v>
      </c>
      <c r="I266" s="3">
        <v>350</v>
      </c>
      <c r="J266" s="3" t="s">
        <v>243</v>
      </c>
      <c r="K266" s="3" t="s">
        <v>5</v>
      </c>
      <c r="L266" s="3" t="s">
        <v>103</v>
      </c>
      <c r="M266" s="4">
        <v>199900</v>
      </c>
      <c r="N266" s="5">
        <v>9.6</v>
      </c>
      <c r="O266" s="4">
        <f t="shared" si="8"/>
        <v>19190.400000000001</v>
      </c>
      <c r="P266" s="4">
        <f t="shared" si="9"/>
        <v>180709.6</v>
      </c>
      <c r="Q266" s="3" t="s">
        <v>28</v>
      </c>
      <c r="R266" s="3" t="s">
        <v>67</v>
      </c>
      <c r="S266" s="3" t="s">
        <v>68</v>
      </c>
      <c r="T266" s="3" t="s">
        <v>26</v>
      </c>
    </row>
    <row r="267" spans="1:20" ht="15" customHeight="1" x14ac:dyDescent="0.3">
      <c r="A267" s="3" t="s">
        <v>962</v>
      </c>
      <c r="B267" s="3" t="s">
        <v>341</v>
      </c>
      <c r="C267" s="3" t="s">
        <v>12</v>
      </c>
      <c r="D267" s="3" t="s">
        <v>640</v>
      </c>
      <c r="E267" s="3" t="s">
        <v>963</v>
      </c>
      <c r="F267" s="3" t="s">
        <v>174</v>
      </c>
      <c r="G267" s="3" t="s">
        <v>73</v>
      </c>
      <c r="H267" s="3" t="s">
        <v>21</v>
      </c>
      <c r="I267" s="3">
        <v>110</v>
      </c>
      <c r="J267" s="3" t="s">
        <v>81</v>
      </c>
      <c r="K267" s="3" t="s">
        <v>11</v>
      </c>
      <c r="L267" s="3" t="s">
        <v>97</v>
      </c>
      <c r="M267" s="4">
        <v>79900</v>
      </c>
      <c r="N267" s="5">
        <v>5.4</v>
      </c>
      <c r="O267" s="4">
        <f t="shared" si="8"/>
        <v>4314.6000000000004</v>
      </c>
      <c r="P267" s="4">
        <f t="shared" si="9"/>
        <v>75585.399999999994</v>
      </c>
      <c r="Q267" s="3" t="s">
        <v>34</v>
      </c>
      <c r="R267" s="3" t="s">
        <v>67</v>
      </c>
      <c r="S267" s="3" t="s">
        <v>67</v>
      </c>
      <c r="T267" s="3" t="s">
        <v>26</v>
      </c>
    </row>
    <row r="268" spans="1:20" ht="15" customHeight="1" x14ac:dyDescent="0.3">
      <c r="A268" s="3" t="s">
        <v>964</v>
      </c>
      <c r="B268" s="3" t="s">
        <v>318</v>
      </c>
      <c r="C268" s="3" t="s">
        <v>10</v>
      </c>
      <c r="D268" s="3" t="s">
        <v>965</v>
      </c>
      <c r="E268" s="3" t="s">
        <v>966</v>
      </c>
      <c r="F268" s="3" t="s">
        <v>63</v>
      </c>
      <c r="G268" s="3" t="s">
        <v>256</v>
      </c>
      <c r="H268" s="3" t="s">
        <v>21</v>
      </c>
      <c r="I268" s="3">
        <v>110</v>
      </c>
      <c r="J268" s="3" t="s">
        <v>81</v>
      </c>
      <c r="K268" s="3" t="s">
        <v>9</v>
      </c>
      <c r="L268" s="3" t="s">
        <v>97</v>
      </c>
      <c r="M268" s="4">
        <v>80900</v>
      </c>
      <c r="N268" s="5">
        <v>6.5</v>
      </c>
      <c r="O268" s="4">
        <f t="shared" si="8"/>
        <v>5258.5</v>
      </c>
      <c r="P268" s="4">
        <f t="shared" si="9"/>
        <v>75641.5</v>
      </c>
      <c r="Q268" s="3" t="s">
        <v>25</v>
      </c>
      <c r="R268" s="3" t="s">
        <v>67</v>
      </c>
      <c r="S268" s="3" t="s">
        <v>68</v>
      </c>
      <c r="T268" s="3" t="s">
        <v>29</v>
      </c>
    </row>
    <row r="269" spans="1:20" ht="15" customHeight="1" x14ac:dyDescent="0.3">
      <c r="A269" s="3" t="s">
        <v>967</v>
      </c>
      <c r="B269" s="3" t="s">
        <v>391</v>
      </c>
      <c r="C269" s="3" t="s">
        <v>6</v>
      </c>
      <c r="D269" s="3" t="s">
        <v>769</v>
      </c>
      <c r="E269" s="3" t="s">
        <v>968</v>
      </c>
      <c r="F269" s="3" t="s">
        <v>134</v>
      </c>
      <c r="G269" s="3" t="s">
        <v>316</v>
      </c>
      <c r="H269" s="3" t="s">
        <v>19</v>
      </c>
      <c r="I269" s="3">
        <v>150</v>
      </c>
      <c r="J269" s="3" t="s">
        <v>119</v>
      </c>
      <c r="K269" s="3" t="s">
        <v>3</v>
      </c>
      <c r="L269" s="3" t="s">
        <v>90</v>
      </c>
      <c r="M269" s="4">
        <v>109900</v>
      </c>
      <c r="N269" s="5">
        <v>6.3</v>
      </c>
      <c r="O269" s="4">
        <f t="shared" si="8"/>
        <v>6923.7</v>
      </c>
      <c r="P269" s="4">
        <f t="shared" si="9"/>
        <v>102976.3</v>
      </c>
      <c r="Q269" s="3" t="s">
        <v>25</v>
      </c>
      <c r="R269" s="3" t="s">
        <v>67</v>
      </c>
      <c r="S269" s="3" t="s">
        <v>67</v>
      </c>
      <c r="T269" s="3" t="s">
        <v>26</v>
      </c>
    </row>
    <row r="270" spans="1:20" ht="15" customHeight="1" x14ac:dyDescent="0.3">
      <c r="A270" s="3" t="s">
        <v>969</v>
      </c>
      <c r="B270" s="3" t="s">
        <v>521</v>
      </c>
      <c r="C270" s="3" t="s">
        <v>15</v>
      </c>
      <c r="D270" s="3" t="s">
        <v>774</v>
      </c>
      <c r="E270" s="3" t="s">
        <v>970</v>
      </c>
      <c r="F270" s="3" t="s">
        <v>174</v>
      </c>
      <c r="G270" s="3" t="s">
        <v>184</v>
      </c>
      <c r="H270" s="3" t="s">
        <v>18</v>
      </c>
      <c r="I270" s="3">
        <v>125</v>
      </c>
      <c r="J270" s="3" t="s">
        <v>179</v>
      </c>
      <c r="K270" s="3" t="s">
        <v>5</v>
      </c>
      <c r="L270" s="3" t="s">
        <v>103</v>
      </c>
      <c r="M270" s="4">
        <v>79900</v>
      </c>
      <c r="N270" s="5">
        <v>8.4</v>
      </c>
      <c r="O270" s="4">
        <f t="shared" si="8"/>
        <v>6711.6</v>
      </c>
      <c r="P270" s="4">
        <f t="shared" si="9"/>
        <v>73188.399999999994</v>
      </c>
      <c r="Q270" s="3" t="s">
        <v>31</v>
      </c>
      <c r="R270" s="3" t="s">
        <v>67</v>
      </c>
      <c r="S270" s="3" t="s">
        <v>68</v>
      </c>
      <c r="T270" s="3" t="s">
        <v>26</v>
      </c>
    </row>
    <row r="271" spans="1:20" ht="15" customHeight="1" x14ac:dyDescent="0.3">
      <c r="A271" s="3" t="s">
        <v>971</v>
      </c>
      <c r="B271" s="3" t="s">
        <v>289</v>
      </c>
      <c r="C271" s="3" t="s">
        <v>4</v>
      </c>
      <c r="D271" s="3" t="s">
        <v>972</v>
      </c>
      <c r="E271" s="3" t="s">
        <v>973</v>
      </c>
      <c r="F271" s="3" t="s">
        <v>87</v>
      </c>
      <c r="G271" s="3" t="s">
        <v>135</v>
      </c>
      <c r="H271" s="3" t="s">
        <v>19</v>
      </c>
      <c r="I271" s="3">
        <v>160</v>
      </c>
      <c r="J271" s="3" t="s">
        <v>81</v>
      </c>
      <c r="K271" s="3" t="s">
        <v>1</v>
      </c>
      <c r="L271" s="3" t="s">
        <v>82</v>
      </c>
      <c r="M271" s="4">
        <v>124900</v>
      </c>
      <c r="N271" s="5">
        <v>10.1</v>
      </c>
      <c r="O271" s="4">
        <f t="shared" si="8"/>
        <v>12614.9</v>
      </c>
      <c r="P271" s="4">
        <f t="shared" si="9"/>
        <v>112285.1</v>
      </c>
      <c r="Q271" s="3" t="s">
        <v>25</v>
      </c>
      <c r="R271" s="3" t="s">
        <v>67</v>
      </c>
      <c r="S271" s="3" t="s">
        <v>68</v>
      </c>
      <c r="T271" s="3" t="s">
        <v>26</v>
      </c>
    </row>
    <row r="272" spans="1:20" ht="15" customHeight="1" x14ac:dyDescent="0.3">
      <c r="A272" s="3" t="s">
        <v>974</v>
      </c>
      <c r="B272" s="3" t="s">
        <v>467</v>
      </c>
      <c r="C272" s="3" t="s">
        <v>14</v>
      </c>
      <c r="D272" s="3" t="s">
        <v>77</v>
      </c>
      <c r="E272" s="3" t="s">
        <v>975</v>
      </c>
      <c r="F272" s="3" t="s">
        <v>117</v>
      </c>
      <c r="G272" s="3" t="s">
        <v>316</v>
      </c>
      <c r="H272" s="3" t="s">
        <v>19</v>
      </c>
      <c r="I272" s="3">
        <v>150</v>
      </c>
      <c r="J272" s="3" t="s">
        <v>102</v>
      </c>
      <c r="K272" s="3" t="s">
        <v>11</v>
      </c>
      <c r="L272" s="3" t="s">
        <v>82</v>
      </c>
      <c r="M272" s="4">
        <v>109900</v>
      </c>
      <c r="N272" s="5">
        <v>7.3</v>
      </c>
      <c r="O272" s="4">
        <f t="shared" si="8"/>
        <v>8022.7</v>
      </c>
      <c r="P272" s="4">
        <f t="shared" si="9"/>
        <v>101877.3</v>
      </c>
      <c r="Q272" s="3" t="s">
        <v>40</v>
      </c>
      <c r="R272" s="3" t="s">
        <v>68</v>
      </c>
      <c r="S272" s="3" t="s">
        <v>68</v>
      </c>
      <c r="T272" s="3" t="s">
        <v>26</v>
      </c>
    </row>
    <row r="273" spans="1:20" ht="15" customHeight="1" x14ac:dyDescent="0.3">
      <c r="A273" s="3" t="s">
        <v>976</v>
      </c>
      <c r="B273" s="3" t="s">
        <v>293</v>
      </c>
      <c r="C273" s="3" t="s">
        <v>16</v>
      </c>
      <c r="D273" s="3" t="s">
        <v>977</v>
      </c>
      <c r="E273" s="3" t="s">
        <v>978</v>
      </c>
      <c r="F273" s="3" t="s">
        <v>63</v>
      </c>
      <c r="G273" s="3" t="s">
        <v>73</v>
      </c>
      <c r="H273" s="3" t="s">
        <v>21</v>
      </c>
      <c r="I273" s="3">
        <v>110</v>
      </c>
      <c r="J273" s="3" t="s">
        <v>164</v>
      </c>
      <c r="K273" s="3" t="s">
        <v>3</v>
      </c>
      <c r="L273" s="3" t="s">
        <v>90</v>
      </c>
      <c r="M273" s="4">
        <v>79900</v>
      </c>
      <c r="N273" s="5">
        <v>6.2</v>
      </c>
      <c r="O273" s="4">
        <f t="shared" si="8"/>
        <v>4953.8</v>
      </c>
      <c r="P273" s="4">
        <f t="shared" si="9"/>
        <v>74946.2</v>
      </c>
      <c r="Q273" s="3" t="s">
        <v>28</v>
      </c>
      <c r="R273" s="3" t="s">
        <v>68</v>
      </c>
      <c r="S273" s="3" t="s">
        <v>68</v>
      </c>
      <c r="T273" s="3" t="s">
        <v>29</v>
      </c>
    </row>
    <row r="274" spans="1:20" ht="15" customHeight="1" x14ac:dyDescent="0.3">
      <c r="A274" s="3" t="s">
        <v>979</v>
      </c>
      <c r="B274" s="3" t="s">
        <v>268</v>
      </c>
      <c r="C274" s="3" t="s">
        <v>4</v>
      </c>
      <c r="D274" s="3" t="s">
        <v>980</v>
      </c>
      <c r="E274" s="3" t="s">
        <v>981</v>
      </c>
      <c r="F274" s="3" t="s">
        <v>145</v>
      </c>
      <c r="G274" s="3" t="s">
        <v>80</v>
      </c>
      <c r="H274" s="3" t="s">
        <v>22</v>
      </c>
      <c r="I274" s="3">
        <v>0</v>
      </c>
      <c r="J274" s="3" t="s">
        <v>89</v>
      </c>
      <c r="K274" s="3" t="s">
        <v>9</v>
      </c>
      <c r="L274" s="3" t="s">
        <v>66</v>
      </c>
      <c r="M274" s="4">
        <v>145000</v>
      </c>
      <c r="N274" s="5">
        <v>14.9</v>
      </c>
      <c r="O274" s="4">
        <f t="shared" si="8"/>
        <v>21605</v>
      </c>
      <c r="P274" s="4">
        <f t="shared" si="9"/>
        <v>123395</v>
      </c>
      <c r="Q274" s="3" t="s">
        <v>36</v>
      </c>
      <c r="R274" s="3" t="s">
        <v>67</v>
      </c>
      <c r="S274" s="3" t="s">
        <v>67</v>
      </c>
      <c r="T274" s="3" t="s">
        <v>32</v>
      </c>
    </row>
    <row r="275" spans="1:20" ht="15" customHeight="1" x14ac:dyDescent="0.3">
      <c r="A275" s="3" t="s">
        <v>982</v>
      </c>
      <c r="B275" s="3" t="s">
        <v>600</v>
      </c>
      <c r="C275" s="3" t="s">
        <v>6</v>
      </c>
      <c r="D275" s="3" t="s">
        <v>983</v>
      </c>
      <c r="E275" s="3" t="s">
        <v>984</v>
      </c>
      <c r="F275" s="3" t="s">
        <v>79</v>
      </c>
      <c r="G275" s="3" t="s">
        <v>256</v>
      </c>
      <c r="H275" s="3" t="s">
        <v>21</v>
      </c>
      <c r="I275" s="3">
        <v>110</v>
      </c>
      <c r="J275" s="3" t="s">
        <v>119</v>
      </c>
      <c r="K275" s="3" t="s">
        <v>1</v>
      </c>
      <c r="L275" s="3" t="s">
        <v>82</v>
      </c>
      <c r="M275" s="4">
        <v>80900</v>
      </c>
      <c r="N275" s="5">
        <v>4.8</v>
      </c>
      <c r="O275" s="4">
        <f t="shared" si="8"/>
        <v>3883.2</v>
      </c>
      <c r="P275" s="4">
        <f t="shared" si="9"/>
        <v>77016.800000000003</v>
      </c>
      <c r="Q275" s="3" t="s">
        <v>34</v>
      </c>
      <c r="R275" s="3" t="s">
        <v>67</v>
      </c>
      <c r="S275" s="3" t="s">
        <v>68</v>
      </c>
      <c r="T275" s="3" t="s">
        <v>29</v>
      </c>
    </row>
    <row r="276" spans="1:20" ht="15" customHeight="1" x14ac:dyDescent="0.3">
      <c r="A276" s="3" t="s">
        <v>985</v>
      </c>
      <c r="B276" s="3" t="s">
        <v>414</v>
      </c>
      <c r="C276" s="3" t="s">
        <v>15</v>
      </c>
      <c r="D276" s="3" t="s">
        <v>986</v>
      </c>
      <c r="E276" s="3" t="s">
        <v>987</v>
      </c>
      <c r="F276" s="3" t="s">
        <v>63</v>
      </c>
      <c r="G276" s="3" t="s">
        <v>256</v>
      </c>
      <c r="H276" s="3" t="s">
        <v>21</v>
      </c>
      <c r="I276" s="3">
        <v>110</v>
      </c>
      <c r="J276" s="3" t="s">
        <v>119</v>
      </c>
      <c r="K276" s="3" t="s">
        <v>3</v>
      </c>
      <c r="L276" s="3" t="s">
        <v>136</v>
      </c>
      <c r="M276" s="4">
        <v>80900</v>
      </c>
      <c r="N276" s="5">
        <v>12.9</v>
      </c>
      <c r="O276" s="4">
        <f t="shared" si="8"/>
        <v>10436.1</v>
      </c>
      <c r="P276" s="4">
        <f t="shared" si="9"/>
        <v>70463.899999999994</v>
      </c>
      <c r="Q276" s="3" t="s">
        <v>25</v>
      </c>
      <c r="R276" s="3" t="s">
        <v>68</v>
      </c>
      <c r="S276" s="3" t="s">
        <v>67</v>
      </c>
      <c r="T276" s="3" t="s">
        <v>26</v>
      </c>
    </row>
    <row r="277" spans="1:20" ht="15" customHeight="1" x14ac:dyDescent="0.3">
      <c r="A277" s="3" t="s">
        <v>988</v>
      </c>
      <c r="B277" s="3" t="s">
        <v>326</v>
      </c>
      <c r="C277" s="3" t="s">
        <v>0</v>
      </c>
      <c r="D277" s="3" t="s">
        <v>989</v>
      </c>
      <c r="E277" s="3" t="s">
        <v>990</v>
      </c>
      <c r="F277" s="3" t="s">
        <v>117</v>
      </c>
      <c r="G277" s="3" t="s">
        <v>316</v>
      </c>
      <c r="H277" s="3" t="s">
        <v>19</v>
      </c>
      <c r="I277" s="3">
        <v>150</v>
      </c>
      <c r="J277" s="3" t="s">
        <v>96</v>
      </c>
      <c r="K277" s="3" t="s">
        <v>9</v>
      </c>
      <c r="L277" s="3" t="s">
        <v>82</v>
      </c>
      <c r="M277" s="4">
        <v>109900</v>
      </c>
      <c r="N277" s="5">
        <v>3.1</v>
      </c>
      <c r="O277" s="4">
        <f t="shared" si="8"/>
        <v>3406.9</v>
      </c>
      <c r="P277" s="4">
        <f t="shared" si="9"/>
        <v>106493.1</v>
      </c>
      <c r="Q277" s="3" t="s">
        <v>25</v>
      </c>
      <c r="R277" s="3" t="s">
        <v>67</v>
      </c>
      <c r="S277" s="3" t="s">
        <v>68</v>
      </c>
      <c r="T277" s="3" t="s">
        <v>26</v>
      </c>
    </row>
    <row r="278" spans="1:20" ht="15" customHeight="1" x14ac:dyDescent="0.3">
      <c r="A278" s="3" t="s">
        <v>991</v>
      </c>
      <c r="B278" s="3" t="s">
        <v>482</v>
      </c>
      <c r="C278" s="3" t="s">
        <v>6</v>
      </c>
      <c r="D278" s="3" t="s">
        <v>385</v>
      </c>
      <c r="E278" s="3" t="s">
        <v>992</v>
      </c>
      <c r="F278" s="3" t="s">
        <v>112</v>
      </c>
      <c r="G278" s="3" t="s">
        <v>256</v>
      </c>
      <c r="H278" s="3" t="s">
        <v>21</v>
      </c>
      <c r="I278" s="3">
        <v>110</v>
      </c>
      <c r="J278" s="3" t="s">
        <v>119</v>
      </c>
      <c r="K278" s="3" t="s">
        <v>3</v>
      </c>
      <c r="L278" s="3" t="s">
        <v>103</v>
      </c>
      <c r="M278" s="4">
        <v>80900</v>
      </c>
      <c r="N278" s="5">
        <v>11.5</v>
      </c>
      <c r="O278" s="4">
        <f t="shared" si="8"/>
        <v>9303.5</v>
      </c>
      <c r="P278" s="4">
        <f t="shared" si="9"/>
        <v>71596.5</v>
      </c>
      <c r="Q278" s="3" t="s">
        <v>25</v>
      </c>
      <c r="R278" s="3" t="s">
        <v>68</v>
      </c>
      <c r="S278" s="3" t="s">
        <v>68</v>
      </c>
      <c r="T278" s="3" t="s">
        <v>29</v>
      </c>
    </row>
    <row r="279" spans="1:20" ht="15" customHeight="1" x14ac:dyDescent="0.3">
      <c r="A279" s="3" t="s">
        <v>993</v>
      </c>
      <c r="B279" s="3" t="s">
        <v>249</v>
      </c>
      <c r="C279" s="3" t="s">
        <v>13</v>
      </c>
      <c r="D279" s="3" t="s">
        <v>932</v>
      </c>
      <c r="E279" s="3" t="s">
        <v>994</v>
      </c>
      <c r="F279" s="3" t="s">
        <v>63</v>
      </c>
      <c r="G279" s="3" t="s">
        <v>256</v>
      </c>
      <c r="H279" s="3" t="s">
        <v>21</v>
      </c>
      <c r="I279" s="3">
        <v>110</v>
      </c>
      <c r="J279" s="3" t="s">
        <v>129</v>
      </c>
      <c r="K279" s="3" t="s">
        <v>5</v>
      </c>
      <c r="L279" s="3" t="s">
        <v>74</v>
      </c>
      <c r="M279" s="4">
        <v>80900</v>
      </c>
      <c r="N279" s="5">
        <v>4.0999999999999996</v>
      </c>
      <c r="O279" s="4">
        <f t="shared" si="8"/>
        <v>3316.9</v>
      </c>
      <c r="P279" s="4">
        <f t="shared" si="9"/>
        <v>77583.100000000006</v>
      </c>
      <c r="Q279" s="3" t="s">
        <v>40</v>
      </c>
      <c r="R279" s="3" t="s">
        <v>67</v>
      </c>
      <c r="S279" s="3" t="s">
        <v>67</v>
      </c>
      <c r="T279" s="3" t="s">
        <v>26</v>
      </c>
    </row>
    <row r="280" spans="1:20" ht="15" customHeight="1" x14ac:dyDescent="0.3">
      <c r="A280" s="3" t="s">
        <v>995</v>
      </c>
      <c r="B280" s="3" t="s">
        <v>621</v>
      </c>
      <c r="C280" s="3" t="s">
        <v>13</v>
      </c>
      <c r="D280" s="3" t="s">
        <v>308</v>
      </c>
      <c r="E280" s="3" t="s">
        <v>996</v>
      </c>
      <c r="F280" s="3" t="s">
        <v>155</v>
      </c>
      <c r="G280" s="3" t="s">
        <v>222</v>
      </c>
      <c r="H280" s="3" t="s">
        <v>19</v>
      </c>
      <c r="I280" s="3">
        <v>155</v>
      </c>
      <c r="J280" s="3" t="s">
        <v>65</v>
      </c>
      <c r="K280" s="3" t="s">
        <v>3</v>
      </c>
      <c r="L280" s="3" t="s">
        <v>74</v>
      </c>
      <c r="M280" s="4">
        <v>167900</v>
      </c>
      <c r="N280" s="5">
        <v>7.6</v>
      </c>
      <c r="O280" s="4">
        <f t="shared" si="8"/>
        <v>12760.4</v>
      </c>
      <c r="P280" s="4">
        <f t="shared" si="9"/>
        <v>155139.6</v>
      </c>
      <c r="Q280" s="3" t="s">
        <v>36</v>
      </c>
      <c r="R280" s="3" t="s">
        <v>67</v>
      </c>
      <c r="S280" s="3" t="s">
        <v>67</v>
      </c>
      <c r="T280" s="3" t="s">
        <v>32</v>
      </c>
    </row>
    <row r="281" spans="1:20" ht="15" customHeight="1" x14ac:dyDescent="0.3">
      <c r="A281" s="3" t="s">
        <v>997</v>
      </c>
      <c r="B281" s="3" t="s">
        <v>60</v>
      </c>
      <c r="C281" s="3" t="s">
        <v>16</v>
      </c>
      <c r="D281" s="3" t="s">
        <v>998</v>
      </c>
      <c r="E281" s="3" t="s">
        <v>999</v>
      </c>
      <c r="F281" s="3" t="s">
        <v>145</v>
      </c>
      <c r="G281" s="3" t="s">
        <v>256</v>
      </c>
      <c r="H281" s="3" t="s">
        <v>21</v>
      </c>
      <c r="I281" s="3">
        <v>110</v>
      </c>
      <c r="J281" s="3" t="s">
        <v>65</v>
      </c>
      <c r="K281" s="3" t="s">
        <v>7</v>
      </c>
      <c r="L281" s="3" t="s">
        <v>66</v>
      </c>
      <c r="M281" s="4">
        <v>80900</v>
      </c>
      <c r="N281" s="5">
        <v>13.5</v>
      </c>
      <c r="O281" s="4">
        <f t="shared" si="8"/>
        <v>10921.5</v>
      </c>
      <c r="P281" s="4">
        <f t="shared" si="9"/>
        <v>69978.5</v>
      </c>
      <c r="Q281" s="3" t="s">
        <v>40</v>
      </c>
      <c r="R281" s="3" t="s">
        <v>68</v>
      </c>
      <c r="S281" s="3" t="s">
        <v>68</v>
      </c>
      <c r="T281" s="3" t="s">
        <v>26</v>
      </c>
    </row>
    <row r="282" spans="1:20" ht="15" customHeight="1" x14ac:dyDescent="0.3">
      <c r="A282" s="3" t="s">
        <v>1000</v>
      </c>
      <c r="B282" s="3" t="s">
        <v>683</v>
      </c>
      <c r="C282" s="3" t="s">
        <v>12</v>
      </c>
      <c r="D282" s="3" t="s">
        <v>1001</v>
      </c>
      <c r="E282" s="3" t="s">
        <v>1002</v>
      </c>
      <c r="F282" s="3" t="s">
        <v>117</v>
      </c>
      <c r="G282" s="3" t="s">
        <v>201</v>
      </c>
      <c r="H282" s="3" t="s">
        <v>19</v>
      </c>
      <c r="I282" s="3">
        <v>160</v>
      </c>
      <c r="J282" s="3" t="s">
        <v>243</v>
      </c>
      <c r="K282" s="3" t="s">
        <v>1</v>
      </c>
      <c r="L282" s="3" t="s">
        <v>206</v>
      </c>
      <c r="M282" s="4">
        <v>129900</v>
      </c>
      <c r="N282" s="5">
        <v>8.9</v>
      </c>
      <c r="O282" s="4">
        <f t="shared" si="8"/>
        <v>11561.1</v>
      </c>
      <c r="P282" s="4">
        <f t="shared" si="9"/>
        <v>118338.9</v>
      </c>
      <c r="Q282" s="3" t="s">
        <v>34</v>
      </c>
      <c r="R282" s="3" t="s">
        <v>68</v>
      </c>
      <c r="S282" s="3" t="s">
        <v>68</v>
      </c>
      <c r="T282" s="3" t="s">
        <v>29</v>
      </c>
    </row>
    <row r="283" spans="1:20" ht="15" customHeight="1" x14ac:dyDescent="0.3">
      <c r="A283" s="3" t="s">
        <v>1003</v>
      </c>
      <c r="B283" s="3" t="s">
        <v>300</v>
      </c>
      <c r="C283" s="3" t="s">
        <v>12</v>
      </c>
      <c r="D283" s="3" t="s">
        <v>1004</v>
      </c>
      <c r="E283" s="3" t="s">
        <v>1005</v>
      </c>
      <c r="F283" s="3" t="s">
        <v>145</v>
      </c>
      <c r="G283" s="3" t="s">
        <v>316</v>
      </c>
      <c r="H283" s="3" t="s">
        <v>19</v>
      </c>
      <c r="I283" s="3">
        <v>150</v>
      </c>
      <c r="J283" s="3" t="s">
        <v>102</v>
      </c>
      <c r="K283" s="3" t="s">
        <v>7</v>
      </c>
      <c r="L283" s="3" t="s">
        <v>90</v>
      </c>
      <c r="M283" s="4">
        <v>109900</v>
      </c>
      <c r="N283" s="5">
        <v>10.4</v>
      </c>
      <c r="O283" s="4">
        <f t="shared" si="8"/>
        <v>11429.6</v>
      </c>
      <c r="P283" s="4">
        <f t="shared" si="9"/>
        <v>98470.399999999994</v>
      </c>
      <c r="Q283" s="3" t="s">
        <v>31</v>
      </c>
      <c r="R283" s="3" t="s">
        <v>67</v>
      </c>
      <c r="S283" s="3" t="s">
        <v>68</v>
      </c>
      <c r="T283" s="3" t="s">
        <v>26</v>
      </c>
    </row>
    <row r="284" spans="1:20" ht="15" customHeight="1" x14ac:dyDescent="0.3">
      <c r="A284" s="3" t="s">
        <v>1006</v>
      </c>
      <c r="B284" s="3" t="s">
        <v>366</v>
      </c>
      <c r="C284" s="3" t="s">
        <v>4</v>
      </c>
      <c r="D284" s="3" t="s">
        <v>1007</v>
      </c>
      <c r="E284" s="3" t="s">
        <v>1008</v>
      </c>
      <c r="F284" s="3" t="s">
        <v>63</v>
      </c>
      <c r="G284" s="3" t="s">
        <v>256</v>
      </c>
      <c r="H284" s="3" t="s">
        <v>21</v>
      </c>
      <c r="I284" s="3">
        <v>110</v>
      </c>
      <c r="J284" s="3" t="s">
        <v>129</v>
      </c>
      <c r="K284" s="3" t="s">
        <v>7</v>
      </c>
      <c r="L284" s="3" t="s">
        <v>82</v>
      </c>
      <c r="M284" s="4">
        <v>80900</v>
      </c>
      <c r="N284" s="5">
        <v>7.7</v>
      </c>
      <c r="O284" s="4">
        <f t="shared" si="8"/>
        <v>6229.3</v>
      </c>
      <c r="P284" s="4">
        <f t="shared" si="9"/>
        <v>74670.7</v>
      </c>
      <c r="Q284" s="3" t="s">
        <v>28</v>
      </c>
      <c r="R284" s="3" t="s">
        <v>67</v>
      </c>
      <c r="S284" s="3" t="s">
        <v>68</v>
      </c>
      <c r="T284" s="3" t="s">
        <v>26</v>
      </c>
    </row>
    <row r="285" spans="1:20" ht="15" customHeight="1" x14ac:dyDescent="0.3">
      <c r="A285" s="3" t="s">
        <v>1009</v>
      </c>
      <c r="B285" s="3" t="s">
        <v>1010</v>
      </c>
      <c r="C285" s="3" t="s">
        <v>6</v>
      </c>
      <c r="D285" s="3" t="s">
        <v>1011</v>
      </c>
      <c r="E285" s="3" t="s">
        <v>1012</v>
      </c>
      <c r="F285" s="3" t="s">
        <v>117</v>
      </c>
      <c r="G285" s="3" t="s">
        <v>146</v>
      </c>
      <c r="H285" s="3" t="s">
        <v>18</v>
      </c>
      <c r="I285" s="3">
        <v>110</v>
      </c>
      <c r="J285" s="3" t="s">
        <v>65</v>
      </c>
      <c r="K285" s="3" t="s">
        <v>3</v>
      </c>
      <c r="L285" s="3" t="s">
        <v>82</v>
      </c>
      <c r="M285" s="4">
        <v>74900</v>
      </c>
      <c r="N285" s="5">
        <v>7.7</v>
      </c>
      <c r="O285" s="4">
        <f t="shared" si="8"/>
        <v>5767.3</v>
      </c>
      <c r="P285" s="4">
        <f t="shared" si="9"/>
        <v>69132.7</v>
      </c>
      <c r="Q285" s="3" t="s">
        <v>25</v>
      </c>
      <c r="R285" s="3" t="s">
        <v>68</v>
      </c>
      <c r="S285" s="3" t="s">
        <v>68</v>
      </c>
      <c r="T285" s="3" t="s">
        <v>26</v>
      </c>
    </row>
    <row r="286" spans="1:20" ht="15" customHeight="1" x14ac:dyDescent="0.3">
      <c r="A286" s="3" t="s">
        <v>1013</v>
      </c>
      <c r="B286" s="3" t="s">
        <v>391</v>
      </c>
      <c r="C286" s="3" t="s">
        <v>6</v>
      </c>
      <c r="D286" s="3" t="s">
        <v>1014</v>
      </c>
      <c r="E286" s="3" t="s">
        <v>1015</v>
      </c>
      <c r="F286" s="3" t="s">
        <v>63</v>
      </c>
      <c r="G286" s="3" t="s">
        <v>88</v>
      </c>
      <c r="H286" s="3" t="s">
        <v>18</v>
      </c>
      <c r="I286" s="3">
        <v>125</v>
      </c>
      <c r="J286" s="3" t="s">
        <v>81</v>
      </c>
      <c r="K286" s="3" t="s">
        <v>11</v>
      </c>
      <c r="L286" s="3" t="s">
        <v>74</v>
      </c>
      <c r="M286" s="4">
        <v>94900</v>
      </c>
      <c r="N286" s="5">
        <v>4.5999999999999996</v>
      </c>
      <c r="O286" s="4">
        <f t="shared" si="8"/>
        <v>4365.3999999999996</v>
      </c>
      <c r="P286" s="4">
        <f t="shared" si="9"/>
        <v>90534.6</v>
      </c>
      <c r="Q286" s="3" t="s">
        <v>25</v>
      </c>
      <c r="R286" s="3" t="s">
        <v>67</v>
      </c>
      <c r="S286" s="3" t="s">
        <v>67</v>
      </c>
      <c r="T286" s="3" t="s">
        <v>29</v>
      </c>
    </row>
    <row r="287" spans="1:20" ht="15" customHeight="1" x14ac:dyDescent="0.3">
      <c r="A287" s="3" t="s">
        <v>1016</v>
      </c>
      <c r="B287" s="3" t="s">
        <v>234</v>
      </c>
      <c r="C287" s="3" t="s">
        <v>14</v>
      </c>
      <c r="D287" s="3" t="s">
        <v>1017</v>
      </c>
      <c r="E287" s="3" t="s">
        <v>1018</v>
      </c>
      <c r="F287" s="3" t="s">
        <v>174</v>
      </c>
      <c r="G287" s="3" t="s">
        <v>118</v>
      </c>
      <c r="H287" s="3" t="s">
        <v>20</v>
      </c>
      <c r="I287" s="3">
        <v>350</v>
      </c>
      <c r="J287" s="3" t="s">
        <v>81</v>
      </c>
      <c r="K287" s="3" t="s">
        <v>11</v>
      </c>
      <c r="L287" s="3" t="s">
        <v>136</v>
      </c>
      <c r="M287" s="4">
        <v>159900</v>
      </c>
      <c r="N287" s="5">
        <v>13.9</v>
      </c>
      <c r="O287" s="4">
        <f t="shared" si="8"/>
        <v>22226.1</v>
      </c>
      <c r="P287" s="4">
        <f t="shared" si="9"/>
        <v>137673.9</v>
      </c>
      <c r="Q287" s="3" t="s">
        <v>38</v>
      </c>
      <c r="R287" s="3" t="s">
        <v>67</v>
      </c>
      <c r="S287" s="3" t="s">
        <v>68</v>
      </c>
      <c r="T287" s="3" t="s">
        <v>26</v>
      </c>
    </row>
    <row r="288" spans="1:20" ht="15" customHeight="1" x14ac:dyDescent="0.3">
      <c r="A288" s="3" t="s">
        <v>1019</v>
      </c>
      <c r="B288" s="3" t="s">
        <v>437</v>
      </c>
      <c r="C288" s="3" t="s">
        <v>0</v>
      </c>
      <c r="D288" s="3" t="s">
        <v>1020</v>
      </c>
      <c r="E288" s="3" t="s">
        <v>1021</v>
      </c>
      <c r="F288" s="3" t="s">
        <v>174</v>
      </c>
      <c r="G288" s="3" t="s">
        <v>146</v>
      </c>
      <c r="H288" s="3" t="s">
        <v>18</v>
      </c>
      <c r="I288" s="3">
        <v>110</v>
      </c>
      <c r="J288" s="3" t="s">
        <v>179</v>
      </c>
      <c r="K288" s="3" t="s">
        <v>11</v>
      </c>
      <c r="L288" s="3" t="s">
        <v>90</v>
      </c>
      <c r="M288" s="4">
        <v>74900</v>
      </c>
      <c r="N288" s="5">
        <v>3.4</v>
      </c>
      <c r="O288" s="4">
        <f t="shared" si="8"/>
        <v>2546.6</v>
      </c>
      <c r="P288" s="4">
        <f t="shared" si="9"/>
        <v>72353.399999999994</v>
      </c>
      <c r="Q288" s="3" t="s">
        <v>25</v>
      </c>
      <c r="R288" s="3" t="s">
        <v>67</v>
      </c>
      <c r="S288" s="3" t="s">
        <v>68</v>
      </c>
      <c r="T288" s="3" t="s">
        <v>26</v>
      </c>
    </row>
    <row r="289" spans="1:20" ht="15" customHeight="1" x14ac:dyDescent="0.3">
      <c r="A289" s="3" t="s">
        <v>1022</v>
      </c>
      <c r="B289" s="3" t="s">
        <v>1023</v>
      </c>
      <c r="C289" s="3" t="s">
        <v>8</v>
      </c>
      <c r="D289" s="3" t="s">
        <v>1024</v>
      </c>
      <c r="E289" s="3" t="s">
        <v>1025</v>
      </c>
      <c r="F289" s="3" t="s">
        <v>155</v>
      </c>
      <c r="G289" s="3" t="s">
        <v>118</v>
      </c>
      <c r="H289" s="3" t="s">
        <v>20</v>
      </c>
      <c r="I289" s="3">
        <v>350</v>
      </c>
      <c r="J289" s="3" t="s">
        <v>179</v>
      </c>
      <c r="K289" s="3" t="s">
        <v>11</v>
      </c>
      <c r="L289" s="3" t="s">
        <v>206</v>
      </c>
      <c r="M289" s="4">
        <v>159900</v>
      </c>
      <c r="N289" s="5">
        <v>10.5</v>
      </c>
      <c r="O289" s="4">
        <f t="shared" si="8"/>
        <v>16789.5</v>
      </c>
      <c r="P289" s="4">
        <f t="shared" si="9"/>
        <v>143110.5</v>
      </c>
      <c r="Q289" s="3" t="s">
        <v>25</v>
      </c>
      <c r="R289" s="3" t="s">
        <v>67</v>
      </c>
      <c r="S289" s="3" t="s">
        <v>68</v>
      </c>
      <c r="T289" s="3" t="s">
        <v>32</v>
      </c>
    </row>
    <row r="290" spans="1:20" ht="15" customHeight="1" x14ac:dyDescent="0.3">
      <c r="A290" s="3" t="s">
        <v>1026</v>
      </c>
      <c r="B290" s="3" t="s">
        <v>528</v>
      </c>
      <c r="C290" s="3" t="s">
        <v>12</v>
      </c>
      <c r="D290" s="3" t="s">
        <v>350</v>
      </c>
      <c r="E290" s="3" t="s">
        <v>1027</v>
      </c>
      <c r="F290" s="3" t="s">
        <v>124</v>
      </c>
      <c r="G290" s="3" t="s">
        <v>169</v>
      </c>
      <c r="H290" s="3" t="s">
        <v>18</v>
      </c>
      <c r="I290" s="3">
        <v>162</v>
      </c>
      <c r="J290" s="3" t="s">
        <v>102</v>
      </c>
      <c r="K290" s="3" t="s">
        <v>11</v>
      </c>
      <c r="L290" s="3" t="s">
        <v>206</v>
      </c>
      <c r="M290" s="4">
        <v>124900</v>
      </c>
      <c r="N290" s="5">
        <v>6.9</v>
      </c>
      <c r="O290" s="4">
        <f t="shared" si="8"/>
        <v>8618.1</v>
      </c>
      <c r="P290" s="4">
        <f t="shared" si="9"/>
        <v>116281.9</v>
      </c>
      <c r="Q290" s="3" t="s">
        <v>31</v>
      </c>
      <c r="R290" s="3" t="s">
        <v>67</v>
      </c>
      <c r="S290" s="3" t="s">
        <v>68</v>
      </c>
      <c r="T290" s="3" t="s">
        <v>32</v>
      </c>
    </row>
    <row r="291" spans="1:20" ht="15" customHeight="1" x14ac:dyDescent="0.3">
      <c r="A291" s="3" t="s">
        <v>1028</v>
      </c>
      <c r="B291" s="3" t="s">
        <v>92</v>
      </c>
      <c r="C291" s="3" t="s">
        <v>4</v>
      </c>
      <c r="D291" s="3" t="s">
        <v>1029</v>
      </c>
      <c r="E291" s="3" t="s">
        <v>1030</v>
      </c>
      <c r="F291" s="3" t="s">
        <v>134</v>
      </c>
      <c r="G291" s="3" t="s">
        <v>324</v>
      </c>
      <c r="H291" s="3" t="s">
        <v>19</v>
      </c>
      <c r="I291" s="3">
        <v>149</v>
      </c>
      <c r="J291" s="3" t="s">
        <v>243</v>
      </c>
      <c r="K291" s="3" t="s">
        <v>1</v>
      </c>
      <c r="L291" s="3" t="s">
        <v>206</v>
      </c>
      <c r="M291" s="4">
        <v>119900</v>
      </c>
      <c r="N291" s="5">
        <v>14.7</v>
      </c>
      <c r="O291" s="4">
        <f t="shared" si="8"/>
        <v>17625.3</v>
      </c>
      <c r="P291" s="4">
        <f t="shared" si="9"/>
        <v>102274.7</v>
      </c>
      <c r="Q291" s="3" t="s">
        <v>31</v>
      </c>
      <c r="R291" s="3" t="s">
        <v>67</v>
      </c>
      <c r="S291" s="3" t="s">
        <v>67</v>
      </c>
      <c r="T291" s="3" t="s">
        <v>26</v>
      </c>
    </row>
    <row r="292" spans="1:20" ht="15" customHeight="1" x14ac:dyDescent="0.3">
      <c r="A292" s="3" t="s">
        <v>1031</v>
      </c>
      <c r="B292" s="3" t="s">
        <v>732</v>
      </c>
      <c r="C292" s="3" t="s">
        <v>8</v>
      </c>
      <c r="D292" s="3" t="s">
        <v>1032</v>
      </c>
      <c r="E292" s="3" t="s">
        <v>1033</v>
      </c>
      <c r="F292" s="3" t="s">
        <v>124</v>
      </c>
      <c r="G292" s="3" t="s">
        <v>135</v>
      </c>
      <c r="H292" s="3" t="s">
        <v>19</v>
      </c>
      <c r="I292" s="3">
        <v>160</v>
      </c>
      <c r="J292" s="3" t="s">
        <v>243</v>
      </c>
      <c r="K292" s="3" t="s">
        <v>5</v>
      </c>
      <c r="L292" s="3" t="s">
        <v>74</v>
      </c>
      <c r="M292" s="4">
        <v>124900</v>
      </c>
      <c r="N292" s="5">
        <v>6.8</v>
      </c>
      <c r="O292" s="4">
        <f t="shared" si="8"/>
        <v>8493.2000000000007</v>
      </c>
      <c r="P292" s="4">
        <f t="shared" si="9"/>
        <v>116406.8</v>
      </c>
      <c r="Q292" s="3" t="s">
        <v>28</v>
      </c>
      <c r="R292" s="3" t="s">
        <v>67</v>
      </c>
      <c r="S292" s="3" t="s">
        <v>68</v>
      </c>
      <c r="T292" s="3" t="s">
        <v>26</v>
      </c>
    </row>
    <row r="293" spans="1:20" ht="15" customHeight="1" x14ac:dyDescent="0.3">
      <c r="A293" s="3" t="s">
        <v>1034</v>
      </c>
      <c r="B293" s="3" t="s">
        <v>607</v>
      </c>
      <c r="C293" s="3" t="s">
        <v>15</v>
      </c>
      <c r="D293" s="3" t="s">
        <v>1035</v>
      </c>
      <c r="E293" s="3" t="s">
        <v>1036</v>
      </c>
      <c r="F293" s="3" t="s">
        <v>117</v>
      </c>
      <c r="G293" s="3" t="s">
        <v>184</v>
      </c>
      <c r="H293" s="3" t="s">
        <v>18</v>
      </c>
      <c r="I293" s="3">
        <v>125</v>
      </c>
      <c r="J293" s="3" t="s">
        <v>179</v>
      </c>
      <c r="K293" s="3" t="s">
        <v>5</v>
      </c>
      <c r="L293" s="3" t="s">
        <v>90</v>
      </c>
      <c r="M293" s="4">
        <v>79900</v>
      </c>
      <c r="N293" s="5">
        <v>10.9</v>
      </c>
      <c r="O293" s="4">
        <f t="shared" si="8"/>
        <v>8709.1</v>
      </c>
      <c r="P293" s="4">
        <f t="shared" si="9"/>
        <v>71190.899999999994</v>
      </c>
      <c r="Q293" s="3" t="s">
        <v>34</v>
      </c>
      <c r="R293" s="3" t="s">
        <v>67</v>
      </c>
      <c r="S293" s="3" t="s">
        <v>68</v>
      </c>
      <c r="T293" s="3" t="s">
        <v>26</v>
      </c>
    </row>
    <row r="294" spans="1:20" ht="15" customHeight="1" x14ac:dyDescent="0.3">
      <c r="A294" s="3" t="s">
        <v>1037</v>
      </c>
      <c r="B294" s="3" t="s">
        <v>318</v>
      </c>
      <c r="C294" s="3" t="s">
        <v>10</v>
      </c>
      <c r="D294" s="3" t="s">
        <v>1038</v>
      </c>
      <c r="E294" s="3" t="s">
        <v>1039</v>
      </c>
      <c r="F294" s="3" t="s">
        <v>63</v>
      </c>
      <c r="G294" s="3" t="s">
        <v>156</v>
      </c>
      <c r="H294" s="3" t="s">
        <v>21</v>
      </c>
      <c r="I294" s="3">
        <v>125</v>
      </c>
      <c r="J294" s="3" t="s">
        <v>96</v>
      </c>
      <c r="K294" s="3" t="s">
        <v>1</v>
      </c>
      <c r="L294" s="3" t="s">
        <v>136</v>
      </c>
      <c r="M294" s="4">
        <v>88900</v>
      </c>
      <c r="N294" s="5">
        <v>9.4</v>
      </c>
      <c r="O294" s="4">
        <f t="shared" si="8"/>
        <v>8356.6</v>
      </c>
      <c r="P294" s="4">
        <f t="shared" si="9"/>
        <v>80543.399999999994</v>
      </c>
      <c r="Q294" s="3" t="s">
        <v>31</v>
      </c>
      <c r="R294" s="3" t="s">
        <v>67</v>
      </c>
      <c r="S294" s="3" t="s">
        <v>68</v>
      </c>
      <c r="T294" s="3" t="s">
        <v>32</v>
      </c>
    </row>
    <row r="295" spans="1:20" ht="15" customHeight="1" x14ac:dyDescent="0.3">
      <c r="A295" s="3" t="s">
        <v>1040</v>
      </c>
      <c r="B295" s="3" t="s">
        <v>759</v>
      </c>
      <c r="C295" s="3" t="s">
        <v>8</v>
      </c>
      <c r="D295" s="3" t="s">
        <v>1041</v>
      </c>
      <c r="E295" s="3" t="s">
        <v>1042</v>
      </c>
      <c r="F295" s="3" t="s">
        <v>124</v>
      </c>
      <c r="G295" s="3" t="s">
        <v>135</v>
      </c>
      <c r="H295" s="3" t="s">
        <v>19</v>
      </c>
      <c r="I295" s="3">
        <v>160</v>
      </c>
      <c r="J295" s="3" t="s">
        <v>243</v>
      </c>
      <c r="K295" s="3" t="s">
        <v>3</v>
      </c>
      <c r="L295" s="3" t="s">
        <v>82</v>
      </c>
      <c r="M295" s="4">
        <v>124900</v>
      </c>
      <c r="N295" s="5">
        <v>14.6</v>
      </c>
      <c r="O295" s="4">
        <f t="shared" si="8"/>
        <v>18235.400000000001</v>
      </c>
      <c r="P295" s="4">
        <f t="shared" si="9"/>
        <v>106664.6</v>
      </c>
      <c r="Q295" s="3" t="s">
        <v>40</v>
      </c>
      <c r="R295" s="3" t="s">
        <v>68</v>
      </c>
      <c r="S295" s="3" t="s">
        <v>68</v>
      </c>
      <c r="T295" s="3" t="s">
        <v>29</v>
      </c>
    </row>
    <row r="296" spans="1:20" ht="15" customHeight="1" x14ac:dyDescent="0.3">
      <c r="A296" s="3" t="s">
        <v>1043</v>
      </c>
      <c r="B296" s="3" t="s">
        <v>911</v>
      </c>
      <c r="C296" s="3" t="s">
        <v>17</v>
      </c>
      <c r="D296" s="3" t="s">
        <v>127</v>
      </c>
      <c r="E296" s="3" t="s">
        <v>1044</v>
      </c>
      <c r="F296" s="3" t="s">
        <v>117</v>
      </c>
      <c r="G296" s="3" t="s">
        <v>324</v>
      </c>
      <c r="H296" s="3" t="s">
        <v>19</v>
      </c>
      <c r="I296" s="3">
        <v>149</v>
      </c>
      <c r="J296" s="3" t="s">
        <v>179</v>
      </c>
      <c r="K296" s="3" t="s">
        <v>9</v>
      </c>
      <c r="L296" s="3" t="s">
        <v>74</v>
      </c>
      <c r="M296" s="4">
        <v>119900</v>
      </c>
      <c r="N296" s="5">
        <v>11</v>
      </c>
      <c r="O296" s="4">
        <f t="shared" si="8"/>
        <v>13189</v>
      </c>
      <c r="P296" s="4">
        <f t="shared" si="9"/>
        <v>106711</v>
      </c>
      <c r="Q296" s="3" t="s">
        <v>31</v>
      </c>
      <c r="R296" s="3" t="s">
        <v>67</v>
      </c>
      <c r="S296" s="3" t="s">
        <v>68</v>
      </c>
      <c r="T296" s="3" t="s">
        <v>26</v>
      </c>
    </row>
    <row r="297" spans="1:20" ht="15" customHeight="1" x14ac:dyDescent="0.3">
      <c r="A297" s="3" t="s">
        <v>1045</v>
      </c>
      <c r="B297" s="3" t="s">
        <v>60</v>
      </c>
      <c r="C297" s="3" t="s">
        <v>16</v>
      </c>
      <c r="D297" s="3" t="s">
        <v>350</v>
      </c>
      <c r="E297" s="3" t="s">
        <v>1046</v>
      </c>
      <c r="F297" s="3" t="s">
        <v>79</v>
      </c>
      <c r="G297" s="3" t="s">
        <v>73</v>
      </c>
      <c r="H297" s="3" t="s">
        <v>21</v>
      </c>
      <c r="I297" s="3">
        <v>110</v>
      </c>
      <c r="J297" s="3" t="s">
        <v>65</v>
      </c>
      <c r="K297" s="3" t="s">
        <v>7</v>
      </c>
      <c r="L297" s="3" t="s">
        <v>74</v>
      </c>
      <c r="M297" s="4">
        <v>79900</v>
      </c>
      <c r="N297" s="5">
        <v>5.6</v>
      </c>
      <c r="O297" s="4">
        <f t="shared" si="8"/>
        <v>4474.3999999999996</v>
      </c>
      <c r="P297" s="4">
        <f t="shared" si="9"/>
        <v>75425.600000000006</v>
      </c>
      <c r="Q297" s="3" t="s">
        <v>28</v>
      </c>
      <c r="R297" s="3" t="s">
        <v>67</v>
      </c>
      <c r="S297" s="3" t="s">
        <v>67</v>
      </c>
      <c r="T297" s="3" t="s">
        <v>26</v>
      </c>
    </row>
    <row r="298" spans="1:20" ht="15" customHeight="1" x14ac:dyDescent="0.3">
      <c r="A298" s="3" t="s">
        <v>1047</v>
      </c>
      <c r="B298" s="3" t="s">
        <v>152</v>
      </c>
      <c r="C298" s="3" t="s">
        <v>6</v>
      </c>
      <c r="D298" s="3" t="s">
        <v>1048</v>
      </c>
      <c r="E298" s="3" t="s">
        <v>1049</v>
      </c>
      <c r="F298" s="3" t="s">
        <v>155</v>
      </c>
      <c r="G298" s="3" t="s">
        <v>118</v>
      </c>
      <c r="H298" s="3" t="s">
        <v>20</v>
      </c>
      <c r="I298" s="3">
        <v>350</v>
      </c>
      <c r="J298" s="3" t="s">
        <v>243</v>
      </c>
      <c r="K298" s="3" t="s">
        <v>3</v>
      </c>
      <c r="L298" s="3" t="s">
        <v>74</v>
      </c>
      <c r="M298" s="4">
        <v>159900</v>
      </c>
      <c r="N298" s="5">
        <v>10.3</v>
      </c>
      <c r="O298" s="4">
        <f t="shared" si="8"/>
        <v>16469.7</v>
      </c>
      <c r="P298" s="4">
        <f t="shared" si="9"/>
        <v>143430.29999999999</v>
      </c>
      <c r="Q298" s="3" t="s">
        <v>40</v>
      </c>
      <c r="R298" s="3" t="s">
        <v>67</v>
      </c>
      <c r="S298" s="3" t="s">
        <v>67</v>
      </c>
      <c r="T298" s="3" t="s">
        <v>26</v>
      </c>
    </row>
    <row r="299" spans="1:20" ht="15" customHeight="1" x14ac:dyDescent="0.3">
      <c r="A299" s="3" t="s">
        <v>1050</v>
      </c>
      <c r="B299" s="3" t="s">
        <v>414</v>
      </c>
      <c r="C299" s="3" t="s">
        <v>15</v>
      </c>
      <c r="D299" s="3" t="s">
        <v>680</v>
      </c>
      <c r="E299" s="3" t="s">
        <v>1051</v>
      </c>
      <c r="F299" s="3" t="s">
        <v>174</v>
      </c>
      <c r="G299" s="3" t="s">
        <v>135</v>
      </c>
      <c r="H299" s="3" t="s">
        <v>19</v>
      </c>
      <c r="I299" s="3">
        <v>160</v>
      </c>
      <c r="J299" s="3" t="s">
        <v>102</v>
      </c>
      <c r="K299" s="3" t="s">
        <v>11</v>
      </c>
      <c r="L299" s="3" t="s">
        <v>97</v>
      </c>
      <c r="M299" s="4">
        <v>124900</v>
      </c>
      <c r="N299" s="5">
        <v>7.3</v>
      </c>
      <c r="O299" s="4">
        <f t="shared" si="8"/>
        <v>9117.7000000000007</v>
      </c>
      <c r="P299" s="4">
        <f t="shared" si="9"/>
        <v>115782.3</v>
      </c>
      <c r="Q299" s="3" t="s">
        <v>28</v>
      </c>
      <c r="R299" s="3" t="s">
        <v>68</v>
      </c>
      <c r="S299" s="3" t="s">
        <v>68</v>
      </c>
      <c r="T299" s="3" t="s">
        <v>26</v>
      </c>
    </row>
    <row r="300" spans="1:20" ht="15" customHeight="1" x14ac:dyDescent="0.3">
      <c r="A300" s="3" t="s">
        <v>1052</v>
      </c>
      <c r="B300" s="3" t="s">
        <v>272</v>
      </c>
      <c r="C300" s="3" t="s">
        <v>0</v>
      </c>
      <c r="D300" s="3" t="s">
        <v>1053</v>
      </c>
      <c r="E300" s="3" t="s">
        <v>1054</v>
      </c>
      <c r="F300" s="3" t="s">
        <v>155</v>
      </c>
      <c r="G300" s="3" t="s">
        <v>222</v>
      </c>
      <c r="H300" s="3" t="s">
        <v>19</v>
      </c>
      <c r="I300" s="3">
        <v>155</v>
      </c>
      <c r="J300" s="3" t="s">
        <v>65</v>
      </c>
      <c r="K300" s="3" t="s">
        <v>9</v>
      </c>
      <c r="L300" s="3" t="s">
        <v>136</v>
      </c>
      <c r="M300" s="4">
        <v>167900</v>
      </c>
      <c r="N300" s="5">
        <v>3.5</v>
      </c>
      <c r="O300" s="4">
        <f t="shared" si="8"/>
        <v>5876.5</v>
      </c>
      <c r="P300" s="4">
        <f t="shared" si="9"/>
        <v>162023.5</v>
      </c>
      <c r="Q300" s="3" t="s">
        <v>28</v>
      </c>
      <c r="R300" s="3" t="s">
        <v>67</v>
      </c>
      <c r="S300" s="3" t="s">
        <v>68</v>
      </c>
      <c r="T300" s="3" t="s">
        <v>29</v>
      </c>
    </row>
    <row r="301" spans="1:20" ht="15" customHeight="1" x14ac:dyDescent="0.3">
      <c r="A301" s="3" t="s">
        <v>1055</v>
      </c>
      <c r="B301" s="3" t="s">
        <v>794</v>
      </c>
      <c r="C301" s="3" t="s">
        <v>8</v>
      </c>
      <c r="D301" s="3" t="s">
        <v>1056</v>
      </c>
      <c r="E301" s="3" t="s">
        <v>1057</v>
      </c>
      <c r="F301" s="3" t="s">
        <v>145</v>
      </c>
      <c r="G301" s="3" t="s">
        <v>88</v>
      </c>
      <c r="H301" s="3" t="s">
        <v>18</v>
      </c>
      <c r="I301" s="3">
        <v>125</v>
      </c>
      <c r="J301" s="3" t="s">
        <v>119</v>
      </c>
      <c r="K301" s="3" t="s">
        <v>5</v>
      </c>
      <c r="L301" s="3" t="s">
        <v>136</v>
      </c>
      <c r="M301" s="4">
        <v>94900</v>
      </c>
      <c r="N301" s="5">
        <v>5.7</v>
      </c>
      <c r="O301" s="4">
        <f t="shared" si="8"/>
        <v>5409.3</v>
      </c>
      <c r="P301" s="4">
        <f t="shared" si="9"/>
        <v>89490.7</v>
      </c>
      <c r="Q301" s="3" t="s">
        <v>31</v>
      </c>
      <c r="R301" s="3" t="s">
        <v>67</v>
      </c>
      <c r="S301" s="3" t="s">
        <v>68</v>
      </c>
      <c r="T301" s="3" t="s">
        <v>32</v>
      </c>
    </row>
    <row r="302" spans="1:20" ht="15" customHeight="1" x14ac:dyDescent="0.3">
      <c r="A302" s="3" t="s">
        <v>1058</v>
      </c>
      <c r="B302" s="3" t="s">
        <v>683</v>
      </c>
      <c r="C302" s="3" t="s">
        <v>12</v>
      </c>
      <c r="D302" s="3" t="s">
        <v>998</v>
      </c>
      <c r="E302" s="3" t="s">
        <v>1059</v>
      </c>
      <c r="F302" s="3" t="s">
        <v>79</v>
      </c>
      <c r="G302" s="3" t="s">
        <v>135</v>
      </c>
      <c r="H302" s="3" t="s">
        <v>19</v>
      </c>
      <c r="I302" s="3">
        <v>160</v>
      </c>
      <c r="J302" s="3" t="s">
        <v>89</v>
      </c>
      <c r="K302" s="3" t="s">
        <v>7</v>
      </c>
      <c r="L302" s="3" t="s">
        <v>74</v>
      </c>
      <c r="M302" s="4">
        <v>124900</v>
      </c>
      <c r="N302" s="5">
        <v>5.7</v>
      </c>
      <c r="O302" s="4">
        <f t="shared" si="8"/>
        <v>7119.3</v>
      </c>
      <c r="P302" s="4">
        <f t="shared" si="9"/>
        <v>117780.7</v>
      </c>
      <c r="Q302" s="3" t="s">
        <v>31</v>
      </c>
      <c r="R302" s="3" t="s">
        <v>68</v>
      </c>
      <c r="S302" s="3" t="s">
        <v>68</v>
      </c>
      <c r="T302" s="3" t="s">
        <v>32</v>
      </c>
    </row>
    <row r="303" spans="1:20" ht="15" customHeight="1" x14ac:dyDescent="0.3">
      <c r="A303" s="3" t="s">
        <v>1060</v>
      </c>
      <c r="B303" s="3" t="s">
        <v>138</v>
      </c>
      <c r="C303" s="3" t="s">
        <v>16</v>
      </c>
      <c r="D303" s="3" t="s">
        <v>1061</v>
      </c>
      <c r="E303" s="3" t="s">
        <v>1062</v>
      </c>
      <c r="F303" s="3" t="s">
        <v>124</v>
      </c>
      <c r="G303" s="3" t="s">
        <v>222</v>
      </c>
      <c r="H303" s="3" t="s">
        <v>19</v>
      </c>
      <c r="I303" s="3">
        <v>155</v>
      </c>
      <c r="J303" s="3" t="s">
        <v>65</v>
      </c>
      <c r="K303" s="3" t="s">
        <v>7</v>
      </c>
      <c r="L303" s="3" t="s">
        <v>66</v>
      </c>
      <c r="M303" s="4">
        <v>167900</v>
      </c>
      <c r="N303" s="5">
        <v>7.1</v>
      </c>
      <c r="O303" s="4">
        <f t="shared" si="8"/>
        <v>11920.9</v>
      </c>
      <c r="P303" s="4">
        <f t="shared" si="9"/>
        <v>155979.1</v>
      </c>
      <c r="Q303" s="3" t="s">
        <v>28</v>
      </c>
      <c r="R303" s="3" t="s">
        <v>67</v>
      </c>
      <c r="S303" s="3" t="s">
        <v>68</v>
      </c>
      <c r="T303" s="3" t="s">
        <v>29</v>
      </c>
    </row>
    <row r="304" spans="1:20" ht="15" customHeight="1" x14ac:dyDescent="0.3">
      <c r="A304" s="3" t="s">
        <v>1063</v>
      </c>
      <c r="B304" s="3" t="s">
        <v>759</v>
      </c>
      <c r="C304" s="3" t="s">
        <v>8</v>
      </c>
      <c r="D304" s="3" t="s">
        <v>1064</v>
      </c>
      <c r="E304" s="3" t="s">
        <v>1065</v>
      </c>
      <c r="F304" s="3" t="s">
        <v>145</v>
      </c>
      <c r="G304" s="3" t="s">
        <v>256</v>
      </c>
      <c r="H304" s="3" t="s">
        <v>21</v>
      </c>
      <c r="I304" s="3">
        <v>110</v>
      </c>
      <c r="J304" s="3" t="s">
        <v>243</v>
      </c>
      <c r="K304" s="3" t="s">
        <v>3</v>
      </c>
      <c r="L304" s="3" t="s">
        <v>206</v>
      </c>
      <c r="M304" s="4">
        <v>80900</v>
      </c>
      <c r="N304" s="5">
        <v>12</v>
      </c>
      <c r="O304" s="4">
        <f t="shared" si="8"/>
        <v>9708</v>
      </c>
      <c r="P304" s="4">
        <f t="shared" si="9"/>
        <v>71192</v>
      </c>
      <c r="Q304" s="3" t="s">
        <v>36</v>
      </c>
      <c r="R304" s="3" t="s">
        <v>68</v>
      </c>
      <c r="S304" s="3" t="s">
        <v>67</v>
      </c>
      <c r="T304" s="3" t="s">
        <v>26</v>
      </c>
    </row>
    <row r="305" spans="1:20" ht="15" customHeight="1" x14ac:dyDescent="0.3">
      <c r="A305" s="3" t="s">
        <v>1066</v>
      </c>
      <c r="B305" s="3" t="s">
        <v>1067</v>
      </c>
      <c r="C305" s="3" t="s">
        <v>17</v>
      </c>
      <c r="D305" s="3" t="s">
        <v>411</v>
      </c>
      <c r="E305" s="3" t="s">
        <v>1068</v>
      </c>
      <c r="F305" s="3" t="s">
        <v>155</v>
      </c>
      <c r="G305" s="3" t="s">
        <v>88</v>
      </c>
      <c r="H305" s="3" t="s">
        <v>18</v>
      </c>
      <c r="I305" s="3">
        <v>125</v>
      </c>
      <c r="J305" s="3" t="s">
        <v>243</v>
      </c>
      <c r="K305" s="3" t="s">
        <v>9</v>
      </c>
      <c r="L305" s="3" t="s">
        <v>103</v>
      </c>
      <c r="M305" s="4">
        <v>94900</v>
      </c>
      <c r="N305" s="5">
        <v>10.5</v>
      </c>
      <c r="O305" s="4">
        <f t="shared" si="8"/>
        <v>9964.5</v>
      </c>
      <c r="P305" s="4">
        <f t="shared" si="9"/>
        <v>84935.5</v>
      </c>
      <c r="Q305" s="3" t="s">
        <v>25</v>
      </c>
      <c r="R305" s="3" t="s">
        <v>67</v>
      </c>
      <c r="S305" s="3" t="s">
        <v>68</v>
      </c>
      <c r="T305" s="3" t="s">
        <v>26</v>
      </c>
    </row>
    <row r="306" spans="1:20" ht="15" customHeight="1" x14ac:dyDescent="0.3">
      <c r="A306" s="3" t="s">
        <v>1069</v>
      </c>
      <c r="B306" s="3" t="s">
        <v>1070</v>
      </c>
      <c r="C306" s="3" t="s">
        <v>0</v>
      </c>
      <c r="D306" s="3" t="s">
        <v>1071</v>
      </c>
      <c r="E306" s="3" t="s">
        <v>1072</v>
      </c>
      <c r="F306" s="3" t="s">
        <v>87</v>
      </c>
      <c r="G306" s="3" t="s">
        <v>135</v>
      </c>
      <c r="H306" s="3" t="s">
        <v>19</v>
      </c>
      <c r="I306" s="3">
        <v>160</v>
      </c>
      <c r="J306" s="3" t="s">
        <v>102</v>
      </c>
      <c r="K306" s="3" t="s">
        <v>1</v>
      </c>
      <c r="L306" s="3" t="s">
        <v>82</v>
      </c>
      <c r="M306" s="4">
        <v>124900</v>
      </c>
      <c r="N306" s="5">
        <v>7.4</v>
      </c>
      <c r="O306" s="4">
        <f t="shared" si="8"/>
        <v>9242.6</v>
      </c>
      <c r="P306" s="4">
        <f t="shared" si="9"/>
        <v>115657.4</v>
      </c>
      <c r="Q306" s="3" t="s">
        <v>31</v>
      </c>
      <c r="R306" s="3" t="s">
        <v>67</v>
      </c>
      <c r="S306" s="3" t="s">
        <v>68</v>
      </c>
      <c r="T306" s="3" t="s">
        <v>26</v>
      </c>
    </row>
    <row r="307" spans="1:20" ht="15" customHeight="1" x14ac:dyDescent="0.3">
      <c r="A307" s="3" t="s">
        <v>1073</v>
      </c>
      <c r="B307" s="3" t="s">
        <v>176</v>
      </c>
      <c r="C307" s="3" t="s">
        <v>10</v>
      </c>
      <c r="D307" s="3" t="s">
        <v>1074</v>
      </c>
      <c r="E307" s="3" t="s">
        <v>1075</v>
      </c>
      <c r="F307" s="3" t="s">
        <v>174</v>
      </c>
      <c r="G307" s="3" t="s">
        <v>146</v>
      </c>
      <c r="H307" s="3" t="s">
        <v>18</v>
      </c>
      <c r="I307" s="3">
        <v>110</v>
      </c>
      <c r="J307" s="3" t="s">
        <v>89</v>
      </c>
      <c r="K307" s="3" t="s">
        <v>3</v>
      </c>
      <c r="L307" s="3" t="s">
        <v>103</v>
      </c>
      <c r="M307" s="4">
        <v>74900</v>
      </c>
      <c r="N307" s="5">
        <v>6</v>
      </c>
      <c r="O307" s="4">
        <f t="shared" si="8"/>
        <v>4494</v>
      </c>
      <c r="P307" s="4">
        <f t="shared" si="9"/>
        <v>70406</v>
      </c>
      <c r="Q307" s="3" t="s">
        <v>31</v>
      </c>
      <c r="R307" s="3" t="s">
        <v>68</v>
      </c>
      <c r="S307" s="3" t="s">
        <v>68</v>
      </c>
      <c r="T307" s="3" t="s">
        <v>26</v>
      </c>
    </row>
    <row r="308" spans="1:20" ht="15" customHeight="1" x14ac:dyDescent="0.3">
      <c r="A308" s="3" t="s">
        <v>1076</v>
      </c>
      <c r="B308" s="3" t="s">
        <v>126</v>
      </c>
      <c r="C308" s="3" t="s">
        <v>14</v>
      </c>
      <c r="D308" s="3" t="s">
        <v>1077</v>
      </c>
      <c r="E308" s="3" t="s">
        <v>1078</v>
      </c>
      <c r="F308" s="3" t="s">
        <v>112</v>
      </c>
      <c r="G308" s="3" t="s">
        <v>211</v>
      </c>
      <c r="H308" s="3" t="s">
        <v>20</v>
      </c>
      <c r="I308" s="3">
        <v>350</v>
      </c>
      <c r="J308" s="3" t="s">
        <v>129</v>
      </c>
      <c r="K308" s="3" t="s">
        <v>1</v>
      </c>
      <c r="L308" s="3" t="s">
        <v>66</v>
      </c>
      <c r="M308" s="4">
        <v>199900</v>
      </c>
      <c r="N308" s="5">
        <v>11.7</v>
      </c>
      <c r="O308" s="4">
        <f t="shared" si="8"/>
        <v>23388.3</v>
      </c>
      <c r="P308" s="4">
        <f t="shared" si="9"/>
        <v>176511.7</v>
      </c>
      <c r="Q308" s="3" t="s">
        <v>40</v>
      </c>
      <c r="R308" s="3" t="s">
        <v>67</v>
      </c>
      <c r="S308" s="3" t="s">
        <v>68</v>
      </c>
      <c r="T308" s="3" t="s">
        <v>26</v>
      </c>
    </row>
    <row r="309" spans="1:20" ht="15" customHeight="1" x14ac:dyDescent="0.3">
      <c r="A309" s="3" t="s">
        <v>1079</v>
      </c>
      <c r="B309" s="3" t="s">
        <v>109</v>
      </c>
      <c r="C309" s="3" t="s">
        <v>2</v>
      </c>
      <c r="D309" s="3" t="s">
        <v>1080</v>
      </c>
      <c r="E309" s="3" t="s">
        <v>1081</v>
      </c>
      <c r="F309" s="3" t="s">
        <v>134</v>
      </c>
      <c r="G309" s="3" t="s">
        <v>316</v>
      </c>
      <c r="H309" s="3" t="s">
        <v>19</v>
      </c>
      <c r="I309" s="3">
        <v>150</v>
      </c>
      <c r="J309" s="3" t="s">
        <v>102</v>
      </c>
      <c r="K309" s="3" t="s">
        <v>5</v>
      </c>
      <c r="L309" s="3" t="s">
        <v>90</v>
      </c>
      <c r="M309" s="4">
        <v>109900</v>
      </c>
      <c r="N309" s="5">
        <v>8.8000000000000007</v>
      </c>
      <c r="O309" s="4">
        <f t="shared" si="8"/>
        <v>9671.2000000000007</v>
      </c>
      <c r="P309" s="4">
        <f t="shared" si="9"/>
        <v>100228.8</v>
      </c>
      <c r="Q309" s="3" t="s">
        <v>28</v>
      </c>
      <c r="R309" s="3" t="s">
        <v>67</v>
      </c>
      <c r="S309" s="3" t="s">
        <v>68</v>
      </c>
      <c r="T309" s="3" t="s">
        <v>26</v>
      </c>
    </row>
    <row r="310" spans="1:20" ht="15" customHeight="1" x14ac:dyDescent="0.3">
      <c r="A310" s="3" t="s">
        <v>1082</v>
      </c>
      <c r="B310" s="3" t="s">
        <v>318</v>
      </c>
      <c r="C310" s="3" t="s">
        <v>10</v>
      </c>
      <c r="D310" s="3" t="s">
        <v>1083</v>
      </c>
      <c r="E310" s="3" t="s">
        <v>1084</v>
      </c>
      <c r="F310" s="3" t="s">
        <v>145</v>
      </c>
      <c r="G310" s="3" t="s">
        <v>222</v>
      </c>
      <c r="H310" s="3" t="s">
        <v>19</v>
      </c>
      <c r="I310" s="3">
        <v>155</v>
      </c>
      <c r="J310" s="3" t="s">
        <v>96</v>
      </c>
      <c r="K310" s="3" t="s">
        <v>9</v>
      </c>
      <c r="L310" s="3" t="s">
        <v>90</v>
      </c>
      <c r="M310" s="4">
        <v>167900</v>
      </c>
      <c r="N310" s="5">
        <v>12.1</v>
      </c>
      <c r="O310" s="4">
        <f t="shared" si="8"/>
        <v>20315.900000000001</v>
      </c>
      <c r="P310" s="4">
        <f t="shared" si="9"/>
        <v>147584.1</v>
      </c>
      <c r="Q310" s="3" t="s">
        <v>34</v>
      </c>
      <c r="R310" s="3" t="s">
        <v>68</v>
      </c>
      <c r="S310" s="3" t="s">
        <v>68</v>
      </c>
      <c r="T310" s="3" t="s">
        <v>26</v>
      </c>
    </row>
    <row r="311" spans="1:20" ht="15" customHeight="1" x14ac:dyDescent="0.3">
      <c r="A311" s="3" t="s">
        <v>1085</v>
      </c>
      <c r="B311" s="3" t="s">
        <v>142</v>
      </c>
      <c r="C311" s="3" t="s">
        <v>16</v>
      </c>
      <c r="D311" s="3" t="s">
        <v>1086</v>
      </c>
      <c r="E311" s="3" t="s">
        <v>1087</v>
      </c>
      <c r="F311" s="3" t="s">
        <v>63</v>
      </c>
      <c r="G311" s="3" t="s">
        <v>169</v>
      </c>
      <c r="H311" s="3" t="s">
        <v>18</v>
      </c>
      <c r="I311" s="3">
        <v>162</v>
      </c>
      <c r="J311" s="3" t="s">
        <v>65</v>
      </c>
      <c r="K311" s="3" t="s">
        <v>7</v>
      </c>
      <c r="L311" s="3" t="s">
        <v>97</v>
      </c>
      <c r="M311" s="4">
        <v>124900</v>
      </c>
      <c r="N311" s="5">
        <v>11.4</v>
      </c>
      <c r="O311" s="4">
        <f t="shared" si="8"/>
        <v>14238.6</v>
      </c>
      <c r="P311" s="4">
        <f t="shared" si="9"/>
        <v>110661.4</v>
      </c>
      <c r="Q311" s="3" t="s">
        <v>36</v>
      </c>
      <c r="R311" s="3" t="s">
        <v>67</v>
      </c>
      <c r="S311" s="3" t="s">
        <v>68</v>
      </c>
      <c r="T311" s="3" t="s">
        <v>29</v>
      </c>
    </row>
    <row r="312" spans="1:20" ht="15" customHeight="1" x14ac:dyDescent="0.3">
      <c r="A312" s="3" t="s">
        <v>1088</v>
      </c>
      <c r="B312" s="3" t="s">
        <v>410</v>
      </c>
      <c r="C312" s="3" t="s">
        <v>17</v>
      </c>
      <c r="D312" s="3" t="s">
        <v>1089</v>
      </c>
      <c r="E312" s="3" t="s">
        <v>1090</v>
      </c>
      <c r="F312" s="3" t="s">
        <v>155</v>
      </c>
      <c r="G312" s="3" t="s">
        <v>184</v>
      </c>
      <c r="H312" s="3" t="s">
        <v>18</v>
      </c>
      <c r="I312" s="3">
        <v>125</v>
      </c>
      <c r="J312" s="3" t="s">
        <v>96</v>
      </c>
      <c r="K312" s="3" t="s">
        <v>1</v>
      </c>
      <c r="L312" s="3" t="s">
        <v>74</v>
      </c>
      <c r="M312" s="4">
        <v>79900</v>
      </c>
      <c r="N312" s="5">
        <v>5.9</v>
      </c>
      <c r="O312" s="4">
        <f t="shared" si="8"/>
        <v>4714.1000000000004</v>
      </c>
      <c r="P312" s="4">
        <f t="shared" si="9"/>
        <v>75185.899999999994</v>
      </c>
      <c r="Q312" s="3" t="s">
        <v>36</v>
      </c>
      <c r="R312" s="3" t="s">
        <v>67</v>
      </c>
      <c r="S312" s="3" t="s">
        <v>67</v>
      </c>
      <c r="T312" s="3" t="s">
        <v>26</v>
      </c>
    </row>
    <row r="313" spans="1:20" ht="15" customHeight="1" x14ac:dyDescent="0.3">
      <c r="A313" s="3" t="s">
        <v>1091</v>
      </c>
      <c r="B313" s="3" t="s">
        <v>176</v>
      </c>
      <c r="C313" s="3" t="s">
        <v>16</v>
      </c>
      <c r="D313" s="3" t="s">
        <v>1092</v>
      </c>
      <c r="E313" s="3" t="s">
        <v>1093</v>
      </c>
      <c r="F313" s="3" t="s">
        <v>155</v>
      </c>
      <c r="G313" s="3" t="s">
        <v>169</v>
      </c>
      <c r="H313" s="3" t="s">
        <v>18</v>
      </c>
      <c r="I313" s="3">
        <v>162</v>
      </c>
      <c r="J313" s="3" t="s">
        <v>164</v>
      </c>
      <c r="K313" s="3" t="s">
        <v>11</v>
      </c>
      <c r="L313" s="3" t="s">
        <v>97</v>
      </c>
      <c r="M313" s="4">
        <v>124900</v>
      </c>
      <c r="N313" s="5">
        <v>5.2</v>
      </c>
      <c r="O313" s="4">
        <f t="shared" si="8"/>
        <v>6494.8</v>
      </c>
      <c r="P313" s="4">
        <f t="shared" si="9"/>
        <v>118405.2</v>
      </c>
      <c r="Q313" s="3" t="s">
        <v>31</v>
      </c>
      <c r="R313" s="3" t="s">
        <v>67</v>
      </c>
      <c r="S313" s="3" t="s">
        <v>67</v>
      </c>
      <c r="T313" s="3" t="s">
        <v>32</v>
      </c>
    </row>
    <row r="314" spans="1:20" ht="15" customHeight="1" x14ac:dyDescent="0.3">
      <c r="A314" s="3" t="s">
        <v>1094</v>
      </c>
      <c r="B314" s="3" t="s">
        <v>70</v>
      </c>
      <c r="C314" s="3" t="s">
        <v>2</v>
      </c>
      <c r="D314" s="3" t="s">
        <v>1095</v>
      </c>
      <c r="E314" s="3" t="s">
        <v>1096</v>
      </c>
      <c r="F314" s="3" t="s">
        <v>134</v>
      </c>
      <c r="G314" s="3" t="s">
        <v>316</v>
      </c>
      <c r="H314" s="3" t="s">
        <v>19</v>
      </c>
      <c r="I314" s="3">
        <v>150</v>
      </c>
      <c r="J314" s="3" t="s">
        <v>81</v>
      </c>
      <c r="K314" s="3" t="s">
        <v>9</v>
      </c>
      <c r="L314" s="3" t="s">
        <v>97</v>
      </c>
      <c r="M314" s="4">
        <v>109900</v>
      </c>
      <c r="N314" s="5">
        <v>11.5</v>
      </c>
      <c r="O314" s="4">
        <f t="shared" si="8"/>
        <v>12638.5</v>
      </c>
      <c r="P314" s="4">
        <f t="shared" si="9"/>
        <v>97261.5</v>
      </c>
      <c r="Q314" s="3" t="s">
        <v>38</v>
      </c>
      <c r="R314" s="3" t="s">
        <v>67</v>
      </c>
      <c r="S314" s="3" t="s">
        <v>68</v>
      </c>
      <c r="T314" s="3" t="s">
        <v>29</v>
      </c>
    </row>
    <row r="315" spans="1:20" ht="15" customHeight="1" x14ac:dyDescent="0.3">
      <c r="A315" s="3" t="s">
        <v>1097</v>
      </c>
      <c r="B315" s="3" t="s">
        <v>224</v>
      </c>
      <c r="C315" s="3" t="s">
        <v>0</v>
      </c>
      <c r="D315" s="3" t="s">
        <v>172</v>
      </c>
      <c r="E315" s="3" t="s">
        <v>1098</v>
      </c>
      <c r="F315" s="3" t="s">
        <v>87</v>
      </c>
      <c r="G315" s="3" t="s">
        <v>256</v>
      </c>
      <c r="H315" s="3" t="s">
        <v>21</v>
      </c>
      <c r="I315" s="3">
        <v>110</v>
      </c>
      <c r="J315" s="3" t="s">
        <v>164</v>
      </c>
      <c r="K315" s="3" t="s">
        <v>11</v>
      </c>
      <c r="L315" s="3" t="s">
        <v>66</v>
      </c>
      <c r="M315" s="4">
        <v>80900</v>
      </c>
      <c r="N315" s="5">
        <v>11.1</v>
      </c>
      <c r="O315" s="4">
        <f t="shared" si="8"/>
        <v>8979.9</v>
      </c>
      <c r="P315" s="4">
        <f t="shared" si="9"/>
        <v>71920.100000000006</v>
      </c>
      <c r="Q315" s="3" t="s">
        <v>36</v>
      </c>
      <c r="R315" s="3" t="s">
        <v>68</v>
      </c>
      <c r="S315" s="3" t="s">
        <v>67</v>
      </c>
      <c r="T315" s="3" t="s">
        <v>26</v>
      </c>
    </row>
    <row r="316" spans="1:20" ht="15" customHeight="1" x14ac:dyDescent="0.3">
      <c r="A316" s="3" t="s">
        <v>1099</v>
      </c>
      <c r="B316" s="3" t="s">
        <v>234</v>
      </c>
      <c r="C316" s="3" t="s">
        <v>14</v>
      </c>
      <c r="D316" s="3" t="s">
        <v>1100</v>
      </c>
      <c r="E316" s="3" t="s">
        <v>1101</v>
      </c>
      <c r="F316" s="3" t="s">
        <v>63</v>
      </c>
      <c r="G316" s="3" t="s">
        <v>316</v>
      </c>
      <c r="H316" s="3" t="s">
        <v>19</v>
      </c>
      <c r="I316" s="3">
        <v>150</v>
      </c>
      <c r="J316" s="3" t="s">
        <v>102</v>
      </c>
      <c r="K316" s="3" t="s">
        <v>5</v>
      </c>
      <c r="L316" s="3" t="s">
        <v>206</v>
      </c>
      <c r="M316" s="4">
        <v>109900</v>
      </c>
      <c r="N316" s="5">
        <v>6.7</v>
      </c>
      <c r="O316" s="4">
        <f t="shared" si="8"/>
        <v>7363.3</v>
      </c>
      <c r="P316" s="4">
        <f t="shared" si="9"/>
        <v>102536.7</v>
      </c>
      <c r="Q316" s="3" t="s">
        <v>36</v>
      </c>
      <c r="R316" s="3" t="s">
        <v>67</v>
      </c>
      <c r="S316" s="3" t="s">
        <v>68</v>
      </c>
      <c r="T316" s="3" t="s">
        <v>29</v>
      </c>
    </row>
    <row r="317" spans="1:20" ht="15" customHeight="1" x14ac:dyDescent="0.3">
      <c r="A317" s="3" t="s">
        <v>1102</v>
      </c>
      <c r="B317" s="3" t="s">
        <v>384</v>
      </c>
      <c r="C317" s="3" t="s">
        <v>15</v>
      </c>
      <c r="D317" s="3" t="s">
        <v>277</v>
      </c>
      <c r="E317" s="3" t="s">
        <v>1103</v>
      </c>
      <c r="F317" s="3" t="s">
        <v>155</v>
      </c>
      <c r="G317" s="3" t="s">
        <v>135</v>
      </c>
      <c r="H317" s="3" t="s">
        <v>19</v>
      </c>
      <c r="I317" s="3">
        <v>160</v>
      </c>
      <c r="J317" s="3" t="s">
        <v>65</v>
      </c>
      <c r="K317" s="3" t="s">
        <v>3</v>
      </c>
      <c r="L317" s="3" t="s">
        <v>74</v>
      </c>
      <c r="M317" s="4">
        <v>124900</v>
      </c>
      <c r="N317" s="5">
        <v>8.5</v>
      </c>
      <c r="O317" s="4">
        <f t="shared" si="8"/>
        <v>10616.5</v>
      </c>
      <c r="P317" s="4">
        <f t="shared" si="9"/>
        <v>114283.5</v>
      </c>
      <c r="Q317" s="3" t="s">
        <v>38</v>
      </c>
      <c r="R317" s="3" t="s">
        <v>67</v>
      </c>
      <c r="S317" s="3" t="s">
        <v>67</v>
      </c>
      <c r="T317" s="3" t="s">
        <v>32</v>
      </c>
    </row>
    <row r="318" spans="1:20" ht="15" customHeight="1" x14ac:dyDescent="0.3">
      <c r="A318" s="3" t="s">
        <v>1104</v>
      </c>
      <c r="B318" s="3" t="s">
        <v>600</v>
      </c>
      <c r="C318" s="3" t="s">
        <v>6</v>
      </c>
      <c r="D318" s="3" t="s">
        <v>428</v>
      </c>
      <c r="E318" s="3" t="s">
        <v>1105</v>
      </c>
      <c r="F318" s="3" t="s">
        <v>112</v>
      </c>
      <c r="G318" s="3" t="s">
        <v>201</v>
      </c>
      <c r="H318" s="3" t="s">
        <v>19</v>
      </c>
      <c r="I318" s="3">
        <v>160</v>
      </c>
      <c r="J318" s="3" t="s">
        <v>129</v>
      </c>
      <c r="K318" s="3" t="s">
        <v>3</v>
      </c>
      <c r="L318" s="3" t="s">
        <v>206</v>
      </c>
      <c r="M318" s="4">
        <v>129900</v>
      </c>
      <c r="N318" s="5">
        <v>8.3000000000000007</v>
      </c>
      <c r="O318" s="4">
        <f t="shared" si="8"/>
        <v>10781.7</v>
      </c>
      <c r="P318" s="4">
        <f t="shared" si="9"/>
        <v>119118.3</v>
      </c>
      <c r="Q318" s="3" t="s">
        <v>40</v>
      </c>
      <c r="R318" s="3" t="s">
        <v>67</v>
      </c>
      <c r="S318" s="3" t="s">
        <v>68</v>
      </c>
      <c r="T318" s="3" t="s">
        <v>26</v>
      </c>
    </row>
    <row r="319" spans="1:20" ht="15" customHeight="1" x14ac:dyDescent="0.3">
      <c r="A319" s="3" t="s">
        <v>1106</v>
      </c>
      <c r="B319" s="3" t="s">
        <v>203</v>
      </c>
      <c r="C319" s="3" t="s">
        <v>10</v>
      </c>
      <c r="D319" s="3" t="s">
        <v>640</v>
      </c>
      <c r="E319" s="3" t="s">
        <v>1107</v>
      </c>
      <c r="F319" s="3" t="s">
        <v>87</v>
      </c>
      <c r="G319" s="3" t="s">
        <v>324</v>
      </c>
      <c r="H319" s="3" t="s">
        <v>19</v>
      </c>
      <c r="I319" s="3">
        <v>149</v>
      </c>
      <c r="J319" s="3" t="s">
        <v>96</v>
      </c>
      <c r="K319" s="3" t="s">
        <v>9</v>
      </c>
      <c r="L319" s="3" t="s">
        <v>103</v>
      </c>
      <c r="M319" s="4">
        <v>119900</v>
      </c>
      <c r="N319" s="5">
        <v>6.3</v>
      </c>
      <c r="O319" s="4">
        <f t="shared" si="8"/>
        <v>7553.7</v>
      </c>
      <c r="P319" s="4">
        <f t="shared" si="9"/>
        <v>112346.3</v>
      </c>
      <c r="Q319" s="3" t="s">
        <v>36</v>
      </c>
      <c r="R319" s="3" t="s">
        <v>67</v>
      </c>
      <c r="S319" s="3" t="s">
        <v>68</v>
      </c>
      <c r="T319" s="3" t="s">
        <v>29</v>
      </c>
    </row>
    <row r="320" spans="1:20" ht="15" customHeight="1" x14ac:dyDescent="0.3">
      <c r="A320" s="3" t="s">
        <v>1108</v>
      </c>
      <c r="B320" s="3" t="s">
        <v>826</v>
      </c>
      <c r="C320" s="3" t="s">
        <v>0</v>
      </c>
      <c r="D320" s="3" t="s">
        <v>1109</v>
      </c>
      <c r="E320" s="3" t="s">
        <v>1110</v>
      </c>
      <c r="F320" s="3" t="s">
        <v>117</v>
      </c>
      <c r="G320" s="3" t="s">
        <v>189</v>
      </c>
      <c r="H320" s="3" t="s">
        <v>18</v>
      </c>
      <c r="I320" s="3">
        <v>100</v>
      </c>
      <c r="J320" s="3" t="s">
        <v>119</v>
      </c>
      <c r="K320" s="3" t="s">
        <v>5</v>
      </c>
      <c r="L320" s="3" t="s">
        <v>97</v>
      </c>
      <c r="M320" s="4">
        <v>72900</v>
      </c>
      <c r="N320" s="5">
        <v>9.4</v>
      </c>
      <c r="O320" s="4">
        <f t="shared" si="8"/>
        <v>6852.6</v>
      </c>
      <c r="P320" s="4">
        <f t="shared" si="9"/>
        <v>66047.399999999994</v>
      </c>
      <c r="Q320" s="3" t="s">
        <v>34</v>
      </c>
      <c r="R320" s="3" t="s">
        <v>68</v>
      </c>
      <c r="S320" s="3" t="s">
        <v>68</v>
      </c>
      <c r="T320" s="3" t="s">
        <v>26</v>
      </c>
    </row>
    <row r="321" spans="1:20" ht="15" customHeight="1" x14ac:dyDescent="0.3">
      <c r="A321" s="3" t="s">
        <v>1111</v>
      </c>
      <c r="B321" s="3" t="s">
        <v>318</v>
      </c>
      <c r="C321" s="3" t="s">
        <v>16</v>
      </c>
      <c r="D321" s="3" t="s">
        <v>1112</v>
      </c>
      <c r="E321" s="3" t="s">
        <v>1113</v>
      </c>
      <c r="F321" s="3" t="s">
        <v>87</v>
      </c>
      <c r="G321" s="3" t="s">
        <v>324</v>
      </c>
      <c r="H321" s="3" t="s">
        <v>19</v>
      </c>
      <c r="I321" s="3">
        <v>149</v>
      </c>
      <c r="J321" s="3" t="s">
        <v>119</v>
      </c>
      <c r="K321" s="3" t="s">
        <v>9</v>
      </c>
      <c r="L321" s="3" t="s">
        <v>136</v>
      </c>
      <c r="M321" s="4">
        <v>119900</v>
      </c>
      <c r="N321" s="5">
        <v>10.8</v>
      </c>
      <c r="O321" s="4">
        <f t="shared" si="8"/>
        <v>12949.2</v>
      </c>
      <c r="P321" s="4">
        <f t="shared" si="9"/>
        <v>106950.8</v>
      </c>
      <c r="Q321" s="3" t="s">
        <v>38</v>
      </c>
      <c r="R321" s="3" t="s">
        <v>67</v>
      </c>
      <c r="S321" s="3" t="s">
        <v>68</v>
      </c>
      <c r="T321" s="3" t="s">
        <v>32</v>
      </c>
    </row>
    <row r="322" spans="1:20" ht="15" customHeight="1" x14ac:dyDescent="0.3">
      <c r="A322" s="3" t="s">
        <v>1114</v>
      </c>
      <c r="B322" s="3" t="s">
        <v>60</v>
      </c>
      <c r="C322" s="3" t="s">
        <v>16</v>
      </c>
      <c r="D322" s="3" t="s">
        <v>954</v>
      </c>
      <c r="E322" s="3" t="s">
        <v>1115</v>
      </c>
      <c r="F322" s="3" t="s">
        <v>174</v>
      </c>
      <c r="G322" s="3" t="s">
        <v>201</v>
      </c>
      <c r="H322" s="3" t="s">
        <v>19</v>
      </c>
      <c r="I322" s="3">
        <v>160</v>
      </c>
      <c r="J322" s="3" t="s">
        <v>164</v>
      </c>
      <c r="K322" s="3" t="s">
        <v>3</v>
      </c>
      <c r="L322" s="3" t="s">
        <v>90</v>
      </c>
      <c r="M322" s="4">
        <v>129900</v>
      </c>
      <c r="N322" s="5">
        <v>10.4</v>
      </c>
      <c r="O322" s="4">
        <f t="shared" ref="O322:O385" si="10">M322*N322/100</f>
        <v>13509.6</v>
      </c>
      <c r="P322" s="4">
        <f t="shared" ref="P322:P385" si="11">M322-O322</f>
        <v>116390.39999999999</v>
      </c>
      <c r="Q322" s="3" t="s">
        <v>31</v>
      </c>
      <c r="R322" s="3" t="s">
        <v>67</v>
      </c>
      <c r="S322" s="3" t="s">
        <v>67</v>
      </c>
      <c r="T322" s="3" t="s">
        <v>26</v>
      </c>
    </row>
    <row r="323" spans="1:20" ht="15" customHeight="1" x14ac:dyDescent="0.3">
      <c r="A323" s="3" t="s">
        <v>1116</v>
      </c>
      <c r="B323" s="3" t="s">
        <v>171</v>
      </c>
      <c r="C323" s="3" t="s">
        <v>12</v>
      </c>
      <c r="D323" s="3" t="s">
        <v>1117</v>
      </c>
      <c r="E323" s="3" t="s">
        <v>1118</v>
      </c>
      <c r="F323" s="3" t="s">
        <v>145</v>
      </c>
      <c r="G323" s="3" t="s">
        <v>156</v>
      </c>
      <c r="H323" s="3" t="s">
        <v>21</v>
      </c>
      <c r="I323" s="3">
        <v>125</v>
      </c>
      <c r="J323" s="3" t="s">
        <v>65</v>
      </c>
      <c r="K323" s="3" t="s">
        <v>11</v>
      </c>
      <c r="L323" s="3" t="s">
        <v>82</v>
      </c>
      <c r="M323" s="4">
        <v>88900</v>
      </c>
      <c r="N323" s="5">
        <v>10.9</v>
      </c>
      <c r="O323" s="4">
        <f t="shared" si="10"/>
        <v>9690.1</v>
      </c>
      <c r="P323" s="4">
        <f t="shared" si="11"/>
        <v>79209.899999999994</v>
      </c>
      <c r="Q323" s="3" t="s">
        <v>31</v>
      </c>
      <c r="R323" s="3" t="s">
        <v>68</v>
      </c>
      <c r="S323" s="3" t="s">
        <v>67</v>
      </c>
      <c r="T323" s="3" t="s">
        <v>29</v>
      </c>
    </row>
    <row r="324" spans="1:20" ht="15" customHeight="1" x14ac:dyDescent="0.3">
      <c r="A324" s="3" t="s">
        <v>1119</v>
      </c>
      <c r="B324" s="3" t="s">
        <v>402</v>
      </c>
      <c r="C324" s="3" t="s">
        <v>2</v>
      </c>
      <c r="D324" s="3" t="s">
        <v>1041</v>
      </c>
      <c r="E324" s="3" t="s">
        <v>1120</v>
      </c>
      <c r="F324" s="3" t="s">
        <v>117</v>
      </c>
      <c r="G324" s="3" t="s">
        <v>316</v>
      </c>
      <c r="H324" s="3" t="s">
        <v>19</v>
      </c>
      <c r="I324" s="3">
        <v>150</v>
      </c>
      <c r="J324" s="3" t="s">
        <v>179</v>
      </c>
      <c r="K324" s="3" t="s">
        <v>9</v>
      </c>
      <c r="L324" s="3" t="s">
        <v>97</v>
      </c>
      <c r="M324" s="4">
        <v>109900</v>
      </c>
      <c r="N324" s="5">
        <v>11.7</v>
      </c>
      <c r="O324" s="4">
        <f t="shared" si="10"/>
        <v>12858.3</v>
      </c>
      <c r="P324" s="4">
        <f t="shared" si="11"/>
        <v>97041.7</v>
      </c>
      <c r="Q324" s="3" t="s">
        <v>25</v>
      </c>
      <c r="R324" s="3" t="s">
        <v>67</v>
      </c>
      <c r="S324" s="3" t="s">
        <v>68</v>
      </c>
      <c r="T324" s="3" t="s">
        <v>26</v>
      </c>
    </row>
    <row r="325" spans="1:20" ht="15" customHeight="1" x14ac:dyDescent="0.3">
      <c r="A325" s="3" t="s">
        <v>1121</v>
      </c>
      <c r="B325" s="3" t="s">
        <v>376</v>
      </c>
      <c r="C325" s="3" t="s">
        <v>8</v>
      </c>
      <c r="D325" s="3" t="s">
        <v>1122</v>
      </c>
      <c r="E325" s="3" t="s">
        <v>1123</v>
      </c>
      <c r="F325" s="3" t="s">
        <v>87</v>
      </c>
      <c r="G325" s="3" t="s">
        <v>135</v>
      </c>
      <c r="H325" s="3" t="s">
        <v>19</v>
      </c>
      <c r="I325" s="3">
        <v>160</v>
      </c>
      <c r="J325" s="3" t="s">
        <v>96</v>
      </c>
      <c r="K325" s="3" t="s">
        <v>5</v>
      </c>
      <c r="L325" s="3" t="s">
        <v>103</v>
      </c>
      <c r="M325" s="4">
        <v>124900</v>
      </c>
      <c r="N325" s="5">
        <v>13</v>
      </c>
      <c r="O325" s="4">
        <f t="shared" si="10"/>
        <v>16237</v>
      </c>
      <c r="P325" s="4">
        <f t="shared" si="11"/>
        <v>108663</v>
      </c>
      <c r="Q325" s="3" t="s">
        <v>25</v>
      </c>
      <c r="R325" s="3" t="s">
        <v>68</v>
      </c>
      <c r="S325" s="3" t="s">
        <v>68</v>
      </c>
      <c r="T325" s="3" t="s">
        <v>26</v>
      </c>
    </row>
    <row r="326" spans="1:20" ht="15" customHeight="1" x14ac:dyDescent="0.3">
      <c r="A326" s="3" t="s">
        <v>1124</v>
      </c>
      <c r="B326" s="3" t="s">
        <v>1010</v>
      </c>
      <c r="C326" s="3" t="s">
        <v>6</v>
      </c>
      <c r="D326" s="3" t="s">
        <v>1117</v>
      </c>
      <c r="E326" s="3" t="s">
        <v>1125</v>
      </c>
      <c r="F326" s="3" t="s">
        <v>145</v>
      </c>
      <c r="G326" s="3" t="s">
        <v>316</v>
      </c>
      <c r="H326" s="3" t="s">
        <v>19</v>
      </c>
      <c r="I326" s="3">
        <v>150</v>
      </c>
      <c r="J326" s="3" t="s">
        <v>164</v>
      </c>
      <c r="K326" s="3" t="s">
        <v>3</v>
      </c>
      <c r="L326" s="3" t="s">
        <v>206</v>
      </c>
      <c r="M326" s="4">
        <v>109900</v>
      </c>
      <c r="N326" s="5">
        <v>10.9</v>
      </c>
      <c r="O326" s="4">
        <f t="shared" si="10"/>
        <v>11979.1</v>
      </c>
      <c r="P326" s="4">
        <f t="shared" si="11"/>
        <v>97920.9</v>
      </c>
      <c r="Q326" s="3" t="s">
        <v>34</v>
      </c>
      <c r="R326" s="3" t="s">
        <v>67</v>
      </c>
      <c r="S326" s="3" t="s">
        <v>68</v>
      </c>
      <c r="T326" s="3" t="s">
        <v>26</v>
      </c>
    </row>
    <row r="327" spans="1:20" ht="15" customHeight="1" x14ac:dyDescent="0.3">
      <c r="A327" s="3" t="s">
        <v>1126</v>
      </c>
      <c r="B327" s="3" t="s">
        <v>362</v>
      </c>
      <c r="C327" s="3" t="s">
        <v>2</v>
      </c>
      <c r="D327" s="3" t="s">
        <v>1127</v>
      </c>
      <c r="E327" s="3" t="s">
        <v>1128</v>
      </c>
      <c r="F327" s="3" t="s">
        <v>79</v>
      </c>
      <c r="G327" s="3" t="s">
        <v>73</v>
      </c>
      <c r="H327" s="3" t="s">
        <v>21</v>
      </c>
      <c r="I327" s="3">
        <v>110</v>
      </c>
      <c r="J327" s="3" t="s">
        <v>129</v>
      </c>
      <c r="K327" s="3" t="s">
        <v>1</v>
      </c>
      <c r="L327" s="3" t="s">
        <v>206</v>
      </c>
      <c r="M327" s="4">
        <v>79900</v>
      </c>
      <c r="N327" s="5">
        <v>3.2</v>
      </c>
      <c r="O327" s="4">
        <f t="shared" si="10"/>
        <v>2556.8000000000002</v>
      </c>
      <c r="P327" s="4">
        <f t="shared" si="11"/>
        <v>77343.199999999997</v>
      </c>
      <c r="Q327" s="3" t="s">
        <v>36</v>
      </c>
      <c r="R327" s="3" t="s">
        <v>67</v>
      </c>
      <c r="S327" s="3" t="s">
        <v>68</v>
      </c>
      <c r="T327" s="3" t="s">
        <v>26</v>
      </c>
    </row>
    <row r="328" spans="1:20" ht="15" customHeight="1" x14ac:dyDescent="0.3">
      <c r="A328" s="3" t="s">
        <v>1129</v>
      </c>
      <c r="B328" s="3" t="s">
        <v>809</v>
      </c>
      <c r="C328" s="3" t="s">
        <v>17</v>
      </c>
      <c r="D328" s="3" t="s">
        <v>403</v>
      </c>
      <c r="E328" s="3" t="s">
        <v>1130</v>
      </c>
      <c r="F328" s="3" t="s">
        <v>117</v>
      </c>
      <c r="G328" s="3" t="s">
        <v>64</v>
      </c>
      <c r="H328" s="3" t="s">
        <v>19</v>
      </c>
      <c r="I328" s="3">
        <v>200</v>
      </c>
      <c r="J328" s="3" t="s">
        <v>179</v>
      </c>
      <c r="K328" s="3" t="s">
        <v>9</v>
      </c>
      <c r="L328" s="3" t="s">
        <v>97</v>
      </c>
      <c r="M328" s="4">
        <v>199900</v>
      </c>
      <c r="N328" s="5">
        <v>13.5</v>
      </c>
      <c r="O328" s="4">
        <f t="shared" si="10"/>
        <v>26986.5</v>
      </c>
      <c r="P328" s="4">
        <f t="shared" si="11"/>
        <v>172913.5</v>
      </c>
      <c r="Q328" s="3" t="s">
        <v>40</v>
      </c>
      <c r="R328" s="3" t="s">
        <v>67</v>
      </c>
      <c r="S328" s="3" t="s">
        <v>68</v>
      </c>
      <c r="T328" s="3" t="s">
        <v>29</v>
      </c>
    </row>
    <row r="329" spans="1:20" ht="15" customHeight="1" x14ac:dyDescent="0.3">
      <c r="A329" s="3" t="s">
        <v>1131</v>
      </c>
      <c r="B329" s="3" t="s">
        <v>326</v>
      </c>
      <c r="C329" s="3" t="s">
        <v>0</v>
      </c>
      <c r="D329" s="3" t="s">
        <v>1132</v>
      </c>
      <c r="E329" s="3" t="s">
        <v>1133</v>
      </c>
      <c r="F329" s="3" t="s">
        <v>117</v>
      </c>
      <c r="G329" s="3" t="s">
        <v>73</v>
      </c>
      <c r="H329" s="3" t="s">
        <v>21</v>
      </c>
      <c r="I329" s="3">
        <v>110</v>
      </c>
      <c r="J329" s="3" t="s">
        <v>96</v>
      </c>
      <c r="K329" s="3" t="s">
        <v>5</v>
      </c>
      <c r="L329" s="3" t="s">
        <v>136</v>
      </c>
      <c r="M329" s="4">
        <v>79900</v>
      </c>
      <c r="N329" s="5">
        <v>3.6</v>
      </c>
      <c r="O329" s="4">
        <f t="shared" si="10"/>
        <v>2876.4</v>
      </c>
      <c r="P329" s="4">
        <f t="shared" si="11"/>
        <v>77023.600000000006</v>
      </c>
      <c r="Q329" s="3" t="s">
        <v>31</v>
      </c>
      <c r="R329" s="3" t="s">
        <v>67</v>
      </c>
      <c r="S329" s="3" t="s">
        <v>68</v>
      </c>
      <c r="T329" s="3" t="s">
        <v>26</v>
      </c>
    </row>
    <row r="330" spans="1:20" ht="15" customHeight="1" x14ac:dyDescent="0.3">
      <c r="A330" s="3" t="s">
        <v>1134</v>
      </c>
      <c r="B330" s="3" t="s">
        <v>272</v>
      </c>
      <c r="C330" s="3" t="s">
        <v>0</v>
      </c>
      <c r="D330" s="3" t="s">
        <v>1135</v>
      </c>
      <c r="E330" s="3" t="s">
        <v>1136</v>
      </c>
      <c r="F330" s="3" t="s">
        <v>87</v>
      </c>
      <c r="G330" s="3" t="s">
        <v>88</v>
      </c>
      <c r="H330" s="3" t="s">
        <v>18</v>
      </c>
      <c r="I330" s="3">
        <v>125</v>
      </c>
      <c r="J330" s="3" t="s">
        <v>96</v>
      </c>
      <c r="K330" s="3" t="s">
        <v>1</v>
      </c>
      <c r="L330" s="3" t="s">
        <v>74</v>
      </c>
      <c r="M330" s="4">
        <v>94900</v>
      </c>
      <c r="N330" s="5">
        <v>4.4000000000000004</v>
      </c>
      <c r="O330" s="4">
        <f t="shared" si="10"/>
        <v>4175.6000000000004</v>
      </c>
      <c r="P330" s="4">
        <f t="shared" si="11"/>
        <v>90724.4</v>
      </c>
      <c r="Q330" s="3" t="s">
        <v>34</v>
      </c>
      <c r="R330" s="3" t="s">
        <v>67</v>
      </c>
      <c r="S330" s="3" t="s">
        <v>68</v>
      </c>
      <c r="T330" s="3" t="s">
        <v>26</v>
      </c>
    </row>
    <row r="331" spans="1:20" ht="15" customHeight="1" x14ac:dyDescent="0.3">
      <c r="A331" s="3" t="s">
        <v>1137</v>
      </c>
      <c r="B331" s="3" t="s">
        <v>564</v>
      </c>
      <c r="C331" s="3" t="s">
        <v>13</v>
      </c>
      <c r="D331" s="3" t="s">
        <v>1138</v>
      </c>
      <c r="E331" s="3" t="s">
        <v>1139</v>
      </c>
      <c r="F331" s="3" t="s">
        <v>117</v>
      </c>
      <c r="G331" s="3" t="s">
        <v>222</v>
      </c>
      <c r="H331" s="3" t="s">
        <v>19</v>
      </c>
      <c r="I331" s="3">
        <v>155</v>
      </c>
      <c r="J331" s="3" t="s">
        <v>96</v>
      </c>
      <c r="K331" s="3" t="s">
        <v>3</v>
      </c>
      <c r="L331" s="3" t="s">
        <v>103</v>
      </c>
      <c r="M331" s="4">
        <v>167900</v>
      </c>
      <c r="N331" s="5">
        <v>9.6999999999999993</v>
      </c>
      <c r="O331" s="4">
        <f t="shared" si="10"/>
        <v>16286.299999999997</v>
      </c>
      <c r="P331" s="4">
        <f t="shared" si="11"/>
        <v>151613.70000000001</v>
      </c>
      <c r="Q331" s="3" t="s">
        <v>34</v>
      </c>
      <c r="R331" s="3" t="s">
        <v>68</v>
      </c>
      <c r="S331" s="3" t="s">
        <v>67</v>
      </c>
      <c r="T331" s="3" t="s">
        <v>26</v>
      </c>
    </row>
    <row r="332" spans="1:20" ht="15" customHeight="1" x14ac:dyDescent="0.3">
      <c r="A332" s="3" t="s">
        <v>1140</v>
      </c>
      <c r="B332" s="3" t="s">
        <v>410</v>
      </c>
      <c r="C332" s="3" t="s">
        <v>17</v>
      </c>
      <c r="D332" s="3" t="s">
        <v>1141</v>
      </c>
      <c r="E332" s="3" t="s">
        <v>1142</v>
      </c>
      <c r="F332" s="3" t="s">
        <v>63</v>
      </c>
      <c r="G332" s="3" t="s">
        <v>184</v>
      </c>
      <c r="H332" s="3" t="s">
        <v>18</v>
      </c>
      <c r="I332" s="3">
        <v>125</v>
      </c>
      <c r="J332" s="3" t="s">
        <v>89</v>
      </c>
      <c r="K332" s="3" t="s">
        <v>9</v>
      </c>
      <c r="L332" s="3" t="s">
        <v>136</v>
      </c>
      <c r="M332" s="4">
        <v>79900</v>
      </c>
      <c r="N332" s="5">
        <v>5.9</v>
      </c>
      <c r="O332" s="4">
        <f t="shared" si="10"/>
        <v>4714.1000000000004</v>
      </c>
      <c r="P332" s="4">
        <f t="shared" si="11"/>
        <v>75185.899999999994</v>
      </c>
      <c r="Q332" s="3" t="s">
        <v>28</v>
      </c>
      <c r="R332" s="3" t="s">
        <v>67</v>
      </c>
      <c r="S332" s="3" t="s">
        <v>67</v>
      </c>
      <c r="T332" s="3" t="s">
        <v>26</v>
      </c>
    </row>
    <row r="333" spans="1:20" ht="15" customHeight="1" x14ac:dyDescent="0.3">
      <c r="A333" s="3" t="s">
        <v>1143</v>
      </c>
      <c r="B333" s="3" t="s">
        <v>402</v>
      </c>
      <c r="C333" s="3" t="s">
        <v>2</v>
      </c>
      <c r="D333" s="3" t="s">
        <v>877</v>
      </c>
      <c r="E333" s="3" t="s">
        <v>1144</v>
      </c>
      <c r="F333" s="3" t="s">
        <v>112</v>
      </c>
      <c r="G333" s="3" t="s">
        <v>316</v>
      </c>
      <c r="H333" s="3" t="s">
        <v>19</v>
      </c>
      <c r="I333" s="3">
        <v>150</v>
      </c>
      <c r="J333" s="3" t="s">
        <v>96</v>
      </c>
      <c r="K333" s="3" t="s">
        <v>11</v>
      </c>
      <c r="L333" s="3" t="s">
        <v>103</v>
      </c>
      <c r="M333" s="4">
        <v>109900</v>
      </c>
      <c r="N333" s="5">
        <v>4.2</v>
      </c>
      <c r="O333" s="4">
        <f t="shared" si="10"/>
        <v>4615.8</v>
      </c>
      <c r="P333" s="4">
        <f t="shared" si="11"/>
        <v>105284.2</v>
      </c>
      <c r="Q333" s="3" t="s">
        <v>25</v>
      </c>
      <c r="R333" s="3" t="s">
        <v>67</v>
      </c>
      <c r="S333" s="3" t="s">
        <v>67</v>
      </c>
      <c r="T333" s="3" t="s">
        <v>26</v>
      </c>
    </row>
    <row r="334" spans="1:20" ht="15" customHeight="1" x14ac:dyDescent="0.3">
      <c r="A334" s="3" t="s">
        <v>1145</v>
      </c>
      <c r="B334" s="3" t="s">
        <v>109</v>
      </c>
      <c r="C334" s="3" t="s">
        <v>2</v>
      </c>
      <c r="D334" s="3" t="s">
        <v>877</v>
      </c>
      <c r="E334" s="3" t="s">
        <v>1146</v>
      </c>
      <c r="F334" s="3" t="s">
        <v>155</v>
      </c>
      <c r="G334" s="3" t="s">
        <v>146</v>
      </c>
      <c r="H334" s="3" t="s">
        <v>18</v>
      </c>
      <c r="I334" s="3">
        <v>110</v>
      </c>
      <c r="J334" s="3" t="s">
        <v>129</v>
      </c>
      <c r="K334" s="3" t="s">
        <v>11</v>
      </c>
      <c r="L334" s="3" t="s">
        <v>90</v>
      </c>
      <c r="M334" s="4">
        <v>74900</v>
      </c>
      <c r="N334" s="5">
        <v>11.2</v>
      </c>
      <c r="O334" s="4">
        <f t="shared" si="10"/>
        <v>8388.7999999999993</v>
      </c>
      <c r="P334" s="4">
        <f t="shared" si="11"/>
        <v>66511.199999999997</v>
      </c>
      <c r="Q334" s="3" t="s">
        <v>28</v>
      </c>
      <c r="R334" s="3" t="s">
        <v>68</v>
      </c>
      <c r="S334" s="3" t="s">
        <v>67</v>
      </c>
      <c r="T334" s="3" t="s">
        <v>26</v>
      </c>
    </row>
    <row r="335" spans="1:20" ht="15" customHeight="1" x14ac:dyDescent="0.3">
      <c r="A335" s="3" t="s">
        <v>1147</v>
      </c>
      <c r="B335" s="3" t="s">
        <v>121</v>
      </c>
      <c r="C335" s="3" t="s">
        <v>13</v>
      </c>
      <c r="D335" s="3" t="s">
        <v>522</v>
      </c>
      <c r="E335" s="3" t="s">
        <v>1148</v>
      </c>
      <c r="F335" s="3" t="s">
        <v>155</v>
      </c>
      <c r="G335" s="3" t="s">
        <v>64</v>
      </c>
      <c r="H335" s="3" t="s">
        <v>19</v>
      </c>
      <c r="I335" s="3">
        <v>200</v>
      </c>
      <c r="J335" s="3" t="s">
        <v>179</v>
      </c>
      <c r="K335" s="3" t="s">
        <v>11</v>
      </c>
      <c r="L335" s="3" t="s">
        <v>66</v>
      </c>
      <c r="M335" s="4">
        <v>199900</v>
      </c>
      <c r="N335" s="5">
        <v>3.2</v>
      </c>
      <c r="O335" s="4">
        <f t="shared" si="10"/>
        <v>6396.8</v>
      </c>
      <c r="P335" s="4">
        <f t="shared" si="11"/>
        <v>193503.2</v>
      </c>
      <c r="Q335" s="3" t="s">
        <v>34</v>
      </c>
      <c r="R335" s="3" t="s">
        <v>67</v>
      </c>
      <c r="S335" s="3" t="s">
        <v>67</v>
      </c>
      <c r="T335" s="3" t="s">
        <v>26</v>
      </c>
    </row>
    <row r="336" spans="1:20" ht="15" customHeight="1" x14ac:dyDescent="0.3">
      <c r="A336" s="3" t="s">
        <v>1149</v>
      </c>
      <c r="B336" s="3" t="s">
        <v>873</v>
      </c>
      <c r="C336" s="3" t="s">
        <v>6</v>
      </c>
      <c r="D336" s="3" t="s">
        <v>1150</v>
      </c>
      <c r="E336" s="3" t="s">
        <v>1151</v>
      </c>
      <c r="F336" s="3" t="s">
        <v>174</v>
      </c>
      <c r="G336" s="3" t="s">
        <v>95</v>
      </c>
      <c r="H336" s="3" t="s">
        <v>22</v>
      </c>
      <c r="I336" s="3">
        <v>0</v>
      </c>
      <c r="J336" s="3" t="s">
        <v>65</v>
      </c>
      <c r="K336" s="3" t="s">
        <v>3</v>
      </c>
      <c r="L336" s="3" t="s">
        <v>97</v>
      </c>
      <c r="M336" s="4">
        <v>139999</v>
      </c>
      <c r="N336" s="5">
        <v>7.8</v>
      </c>
      <c r="O336" s="4">
        <f t="shared" si="10"/>
        <v>10919.921999999999</v>
      </c>
      <c r="P336" s="4">
        <f t="shared" si="11"/>
        <v>129079.07800000001</v>
      </c>
      <c r="Q336" s="3" t="s">
        <v>34</v>
      </c>
      <c r="R336" s="3" t="s">
        <v>67</v>
      </c>
      <c r="S336" s="3" t="s">
        <v>68</v>
      </c>
      <c r="T336" s="3" t="s">
        <v>26</v>
      </c>
    </row>
    <row r="337" spans="1:20" ht="15" customHeight="1" x14ac:dyDescent="0.3">
      <c r="A337" s="3" t="s">
        <v>1152</v>
      </c>
      <c r="B337" s="3" t="s">
        <v>600</v>
      </c>
      <c r="C337" s="3" t="s">
        <v>6</v>
      </c>
      <c r="D337" s="3" t="s">
        <v>1153</v>
      </c>
      <c r="E337" s="3" t="s">
        <v>1154</v>
      </c>
      <c r="F337" s="3" t="s">
        <v>145</v>
      </c>
      <c r="G337" s="3" t="s">
        <v>256</v>
      </c>
      <c r="H337" s="3" t="s">
        <v>21</v>
      </c>
      <c r="I337" s="3">
        <v>110</v>
      </c>
      <c r="J337" s="3" t="s">
        <v>119</v>
      </c>
      <c r="K337" s="3" t="s">
        <v>7</v>
      </c>
      <c r="L337" s="3" t="s">
        <v>66</v>
      </c>
      <c r="M337" s="4">
        <v>80900</v>
      </c>
      <c r="N337" s="5">
        <v>6.7</v>
      </c>
      <c r="O337" s="4">
        <f t="shared" si="10"/>
        <v>5420.3</v>
      </c>
      <c r="P337" s="4">
        <f t="shared" si="11"/>
        <v>75479.7</v>
      </c>
      <c r="Q337" s="3" t="s">
        <v>40</v>
      </c>
      <c r="R337" s="3" t="s">
        <v>67</v>
      </c>
      <c r="S337" s="3" t="s">
        <v>68</v>
      </c>
      <c r="T337" s="3" t="s">
        <v>26</v>
      </c>
    </row>
    <row r="338" spans="1:20" ht="15" customHeight="1" x14ac:dyDescent="0.3">
      <c r="A338" s="3" t="s">
        <v>1155</v>
      </c>
      <c r="B338" s="3" t="s">
        <v>203</v>
      </c>
      <c r="C338" s="3" t="s">
        <v>10</v>
      </c>
      <c r="D338" s="3" t="s">
        <v>1156</v>
      </c>
      <c r="E338" s="3" t="s">
        <v>1157</v>
      </c>
      <c r="F338" s="3" t="s">
        <v>155</v>
      </c>
      <c r="G338" s="3" t="s">
        <v>64</v>
      </c>
      <c r="H338" s="3" t="s">
        <v>19</v>
      </c>
      <c r="I338" s="3">
        <v>200</v>
      </c>
      <c r="J338" s="3" t="s">
        <v>179</v>
      </c>
      <c r="K338" s="3" t="s">
        <v>3</v>
      </c>
      <c r="L338" s="3" t="s">
        <v>136</v>
      </c>
      <c r="M338" s="4">
        <v>199900</v>
      </c>
      <c r="N338" s="5">
        <v>4.9000000000000004</v>
      </c>
      <c r="O338" s="4">
        <f t="shared" si="10"/>
        <v>9795.1</v>
      </c>
      <c r="P338" s="4">
        <f t="shared" si="11"/>
        <v>190104.9</v>
      </c>
      <c r="Q338" s="3" t="s">
        <v>34</v>
      </c>
      <c r="R338" s="3" t="s">
        <v>67</v>
      </c>
      <c r="S338" s="3" t="s">
        <v>67</v>
      </c>
      <c r="T338" s="3" t="s">
        <v>29</v>
      </c>
    </row>
    <row r="339" spans="1:20" ht="15" customHeight="1" x14ac:dyDescent="0.3">
      <c r="A339" s="3" t="s">
        <v>1158</v>
      </c>
      <c r="B339" s="3" t="s">
        <v>191</v>
      </c>
      <c r="C339" s="3" t="s">
        <v>14</v>
      </c>
      <c r="D339" s="3" t="s">
        <v>1159</v>
      </c>
      <c r="E339" s="3" t="s">
        <v>1160</v>
      </c>
      <c r="F339" s="3" t="s">
        <v>134</v>
      </c>
      <c r="G339" s="3" t="s">
        <v>135</v>
      </c>
      <c r="H339" s="3" t="s">
        <v>19</v>
      </c>
      <c r="I339" s="3">
        <v>160</v>
      </c>
      <c r="J339" s="3" t="s">
        <v>243</v>
      </c>
      <c r="K339" s="3" t="s">
        <v>7</v>
      </c>
      <c r="L339" s="3" t="s">
        <v>82</v>
      </c>
      <c r="M339" s="4">
        <v>124900</v>
      </c>
      <c r="N339" s="5">
        <v>13.9</v>
      </c>
      <c r="O339" s="4">
        <f t="shared" si="10"/>
        <v>17361.099999999999</v>
      </c>
      <c r="P339" s="4">
        <f t="shared" si="11"/>
        <v>107538.9</v>
      </c>
      <c r="Q339" s="3" t="s">
        <v>40</v>
      </c>
      <c r="R339" s="3" t="s">
        <v>67</v>
      </c>
      <c r="S339" s="3" t="s">
        <v>67</v>
      </c>
      <c r="T339" s="3" t="s">
        <v>26</v>
      </c>
    </row>
    <row r="340" spans="1:20" ht="15" customHeight="1" x14ac:dyDescent="0.3">
      <c r="A340" s="3" t="s">
        <v>1161</v>
      </c>
      <c r="B340" s="3" t="s">
        <v>1070</v>
      </c>
      <c r="C340" s="3" t="s">
        <v>0</v>
      </c>
      <c r="D340" s="3" t="s">
        <v>1162</v>
      </c>
      <c r="E340" s="3" t="s">
        <v>1163</v>
      </c>
      <c r="F340" s="3" t="s">
        <v>79</v>
      </c>
      <c r="G340" s="3" t="s">
        <v>222</v>
      </c>
      <c r="H340" s="3" t="s">
        <v>19</v>
      </c>
      <c r="I340" s="3">
        <v>155</v>
      </c>
      <c r="J340" s="3" t="s">
        <v>89</v>
      </c>
      <c r="K340" s="3" t="s">
        <v>5</v>
      </c>
      <c r="L340" s="3" t="s">
        <v>66</v>
      </c>
      <c r="M340" s="4">
        <v>167900</v>
      </c>
      <c r="N340" s="5">
        <v>13.3</v>
      </c>
      <c r="O340" s="4">
        <f t="shared" si="10"/>
        <v>22330.7</v>
      </c>
      <c r="P340" s="4">
        <f t="shared" si="11"/>
        <v>145569.29999999999</v>
      </c>
      <c r="Q340" s="3" t="s">
        <v>25</v>
      </c>
      <c r="R340" s="3" t="s">
        <v>67</v>
      </c>
      <c r="S340" s="3" t="s">
        <v>67</v>
      </c>
      <c r="T340" s="3" t="s">
        <v>29</v>
      </c>
    </row>
    <row r="341" spans="1:20" ht="15" customHeight="1" x14ac:dyDescent="0.3">
      <c r="A341" s="3" t="s">
        <v>1164</v>
      </c>
      <c r="B341" s="3" t="s">
        <v>380</v>
      </c>
      <c r="C341" s="3" t="s">
        <v>0</v>
      </c>
      <c r="D341" s="3" t="s">
        <v>132</v>
      </c>
      <c r="E341" s="3" t="s">
        <v>1165</v>
      </c>
      <c r="F341" s="3" t="s">
        <v>63</v>
      </c>
      <c r="G341" s="3" t="s">
        <v>80</v>
      </c>
      <c r="H341" s="3" t="s">
        <v>22</v>
      </c>
      <c r="I341" s="3">
        <v>0</v>
      </c>
      <c r="J341" s="3" t="s">
        <v>179</v>
      </c>
      <c r="K341" s="3" t="s">
        <v>3</v>
      </c>
      <c r="L341" s="3" t="s">
        <v>74</v>
      </c>
      <c r="M341" s="4">
        <v>145000</v>
      </c>
      <c r="N341" s="5">
        <v>3.9</v>
      </c>
      <c r="O341" s="4">
        <f t="shared" si="10"/>
        <v>5655</v>
      </c>
      <c r="P341" s="4">
        <f t="shared" si="11"/>
        <v>139345</v>
      </c>
      <c r="Q341" s="3" t="s">
        <v>38</v>
      </c>
      <c r="R341" s="3" t="s">
        <v>67</v>
      </c>
      <c r="S341" s="3" t="s">
        <v>68</v>
      </c>
      <c r="T341" s="3" t="s">
        <v>26</v>
      </c>
    </row>
    <row r="342" spans="1:20" ht="15" customHeight="1" x14ac:dyDescent="0.3">
      <c r="A342" s="3" t="s">
        <v>1166</v>
      </c>
      <c r="B342" s="3" t="s">
        <v>406</v>
      </c>
      <c r="C342" s="3" t="s">
        <v>17</v>
      </c>
      <c r="D342" s="3" t="s">
        <v>1167</v>
      </c>
      <c r="E342" s="3" t="s">
        <v>1168</v>
      </c>
      <c r="F342" s="3" t="s">
        <v>87</v>
      </c>
      <c r="G342" s="3" t="s">
        <v>146</v>
      </c>
      <c r="H342" s="3" t="s">
        <v>18</v>
      </c>
      <c r="I342" s="3">
        <v>110</v>
      </c>
      <c r="J342" s="3" t="s">
        <v>65</v>
      </c>
      <c r="K342" s="3" t="s">
        <v>11</v>
      </c>
      <c r="L342" s="3" t="s">
        <v>103</v>
      </c>
      <c r="M342" s="4">
        <v>74900</v>
      </c>
      <c r="N342" s="5">
        <v>13.8</v>
      </c>
      <c r="O342" s="4">
        <f t="shared" si="10"/>
        <v>10336.200000000001</v>
      </c>
      <c r="P342" s="4">
        <f t="shared" si="11"/>
        <v>64563.8</v>
      </c>
      <c r="Q342" s="3" t="s">
        <v>36</v>
      </c>
      <c r="R342" s="3" t="s">
        <v>67</v>
      </c>
      <c r="S342" s="3" t="s">
        <v>68</v>
      </c>
      <c r="T342" s="3" t="s">
        <v>26</v>
      </c>
    </row>
    <row r="343" spans="1:20" ht="15" customHeight="1" x14ac:dyDescent="0.3">
      <c r="A343" s="3" t="s">
        <v>1169</v>
      </c>
      <c r="B343" s="3" t="s">
        <v>489</v>
      </c>
      <c r="C343" s="3" t="s">
        <v>8</v>
      </c>
      <c r="D343" s="3" t="s">
        <v>1170</v>
      </c>
      <c r="E343" s="3" t="s">
        <v>1171</v>
      </c>
      <c r="F343" s="3" t="s">
        <v>124</v>
      </c>
      <c r="G343" s="3" t="s">
        <v>64</v>
      </c>
      <c r="H343" s="3" t="s">
        <v>19</v>
      </c>
      <c r="I343" s="3">
        <v>200</v>
      </c>
      <c r="J343" s="3" t="s">
        <v>81</v>
      </c>
      <c r="K343" s="3" t="s">
        <v>5</v>
      </c>
      <c r="L343" s="3" t="s">
        <v>97</v>
      </c>
      <c r="M343" s="4">
        <v>199900</v>
      </c>
      <c r="N343" s="5">
        <v>11.4</v>
      </c>
      <c r="O343" s="4">
        <f t="shared" si="10"/>
        <v>22788.6</v>
      </c>
      <c r="P343" s="4">
        <f t="shared" si="11"/>
        <v>177111.4</v>
      </c>
      <c r="Q343" s="3" t="s">
        <v>34</v>
      </c>
      <c r="R343" s="3" t="s">
        <v>68</v>
      </c>
      <c r="S343" s="3" t="s">
        <v>67</v>
      </c>
      <c r="T343" s="3" t="s">
        <v>26</v>
      </c>
    </row>
    <row r="344" spans="1:20" ht="15" customHeight="1" x14ac:dyDescent="0.3">
      <c r="A344" s="3" t="s">
        <v>1172</v>
      </c>
      <c r="B344" s="3" t="s">
        <v>1010</v>
      </c>
      <c r="C344" s="3" t="s">
        <v>6</v>
      </c>
      <c r="D344" s="3" t="s">
        <v>716</v>
      </c>
      <c r="E344" s="3" t="s">
        <v>1173</v>
      </c>
      <c r="F344" s="3" t="s">
        <v>112</v>
      </c>
      <c r="G344" s="3" t="s">
        <v>222</v>
      </c>
      <c r="H344" s="3" t="s">
        <v>19</v>
      </c>
      <c r="I344" s="3">
        <v>155</v>
      </c>
      <c r="J344" s="3" t="s">
        <v>102</v>
      </c>
      <c r="K344" s="3" t="s">
        <v>3</v>
      </c>
      <c r="L344" s="3" t="s">
        <v>74</v>
      </c>
      <c r="M344" s="4">
        <v>167900</v>
      </c>
      <c r="N344" s="5">
        <v>4.0999999999999996</v>
      </c>
      <c r="O344" s="4">
        <f t="shared" si="10"/>
        <v>6883.8999999999987</v>
      </c>
      <c r="P344" s="4">
        <f t="shared" si="11"/>
        <v>161016.1</v>
      </c>
      <c r="Q344" s="3" t="s">
        <v>34</v>
      </c>
      <c r="R344" s="3" t="s">
        <v>67</v>
      </c>
      <c r="S344" s="3" t="s">
        <v>67</v>
      </c>
      <c r="T344" s="3" t="s">
        <v>29</v>
      </c>
    </row>
    <row r="345" spans="1:20" ht="15" customHeight="1" x14ac:dyDescent="0.3">
      <c r="A345" s="3" t="s">
        <v>1174</v>
      </c>
      <c r="B345" s="3" t="s">
        <v>92</v>
      </c>
      <c r="C345" s="3" t="s">
        <v>4</v>
      </c>
      <c r="D345" s="3" t="s">
        <v>729</v>
      </c>
      <c r="E345" s="3" t="s">
        <v>1175</v>
      </c>
      <c r="F345" s="3" t="s">
        <v>87</v>
      </c>
      <c r="G345" s="3" t="s">
        <v>64</v>
      </c>
      <c r="H345" s="3" t="s">
        <v>19</v>
      </c>
      <c r="I345" s="3">
        <v>200</v>
      </c>
      <c r="J345" s="3" t="s">
        <v>179</v>
      </c>
      <c r="K345" s="3" t="s">
        <v>3</v>
      </c>
      <c r="L345" s="3" t="s">
        <v>66</v>
      </c>
      <c r="M345" s="4">
        <v>199900</v>
      </c>
      <c r="N345" s="5">
        <v>13.5</v>
      </c>
      <c r="O345" s="4">
        <f t="shared" si="10"/>
        <v>26986.5</v>
      </c>
      <c r="P345" s="4">
        <f t="shared" si="11"/>
        <v>172913.5</v>
      </c>
      <c r="Q345" s="3" t="s">
        <v>28</v>
      </c>
      <c r="R345" s="3" t="s">
        <v>68</v>
      </c>
      <c r="S345" s="3" t="s">
        <v>68</v>
      </c>
      <c r="T345" s="3" t="s">
        <v>32</v>
      </c>
    </row>
    <row r="346" spans="1:20" ht="15" customHeight="1" x14ac:dyDescent="0.3">
      <c r="A346" s="3" t="s">
        <v>1176</v>
      </c>
      <c r="B346" s="3" t="s">
        <v>444</v>
      </c>
      <c r="C346" s="3" t="s">
        <v>12</v>
      </c>
      <c r="D346" s="3" t="s">
        <v>1061</v>
      </c>
      <c r="E346" s="3" t="s">
        <v>1177</v>
      </c>
      <c r="F346" s="3" t="s">
        <v>117</v>
      </c>
      <c r="G346" s="3" t="s">
        <v>88</v>
      </c>
      <c r="H346" s="3" t="s">
        <v>18</v>
      </c>
      <c r="I346" s="3">
        <v>125</v>
      </c>
      <c r="J346" s="3" t="s">
        <v>102</v>
      </c>
      <c r="K346" s="3" t="s">
        <v>5</v>
      </c>
      <c r="L346" s="3" t="s">
        <v>74</v>
      </c>
      <c r="M346" s="4">
        <v>94900</v>
      </c>
      <c r="N346" s="5">
        <v>6.8</v>
      </c>
      <c r="O346" s="4">
        <f t="shared" si="10"/>
        <v>6453.2</v>
      </c>
      <c r="P346" s="4">
        <f t="shared" si="11"/>
        <v>88446.8</v>
      </c>
      <c r="Q346" s="3" t="s">
        <v>38</v>
      </c>
      <c r="R346" s="3" t="s">
        <v>67</v>
      </c>
      <c r="S346" s="3" t="s">
        <v>67</v>
      </c>
      <c r="T346" s="3" t="s">
        <v>26</v>
      </c>
    </row>
    <row r="347" spans="1:20" ht="15" customHeight="1" x14ac:dyDescent="0.3">
      <c r="A347" s="3" t="s">
        <v>1178</v>
      </c>
      <c r="B347" s="3" t="s">
        <v>639</v>
      </c>
      <c r="C347" s="3" t="s">
        <v>16</v>
      </c>
      <c r="D347" s="3" t="s">
        <v>1179</v>
      </c>
      <c r="E347" s="3" t="s">
        <v>1180</v>
      </c>
      <c r="F347" s="3" t="s">
        <v>174</v>
      </c>
      <c r="G347" s="3" t="s">
        <v>88</v>
      </c>
      <c r="H347" s="3" t="s">
        <v>18</v>
      </c>
      <c r="I347" s="3">
        <v>125</v>
      </c>
      <c r="J347" s="3" t="s">
        <v>119</v>
      </c>
      <c r="K347" s="3" t="s">
        <v>11</v>
      </c>
      <c r="L347" s="3" t="s">
        <v>66</v>
      </c>
      <c r="M347" s="4">
        <v>94900</v>
      </c>
      <c r="N347" s="5">
        <v>11.5</v>
      </c>
      <c r="O347" s="4">
        <f t="shared" si="10"/>
        <v>10913.5</v>
      </c>
      <c r="P347" s="4">
        <f t="shared" si="11"/>
        <v>83986.5</v>
      </c>
      <c r="Q347" s="3" t="s">
        <v>38</v>
      </c>
      <c r="R347" s="3" t="s">
        <v>67</v>
      </c>
      <c r="S347" s="3" t="s">
        <v>68</v>
      </c>
      <c r="T347" s="3" t="s">
        <v>26</v>
      </c>
    </row>
    <row r="348" spans="1:20" ht="15" customHeight="1" x14ac:dyDescent="0.3">
      <c r="A348" s="3" t="s">
        <v>1181</v>
      </c>
      <c r="B348" s="3" t="s">
        <v>1023</v>
      </c>
      <c r="C348" s="3" t="s">
        <v>8</v>
      </c>
      <c r="D348" s="3" t="s">
        <v>1182</v>
      </c>
      <c r="E348" s="3" t="s">
        <v>1183</v>
      </c>
      <c r="F348" s="3" t="s">
        <v>79</v>
      </c>
      <c r="G348" s="3" t="s">
        <v>184</v>
      </c>
      <c r="H348" s="3" t="s">
        <v>18</v>
      </c>
      <c r="I348" s="3">
        <v>125</v>
      </c>
      <c r="J348" s="3" t="s">
        <v>119</v>
      </c>
      <c r="K348" s="3" t="s">
        <v>1</v>
      </c>
      <c r="L348" s="3" t="s">
        <v>74</v>
      </c>
      <c r="M348" s="4">
        <v>79900</v>
      </c>
      <c r="N348" s="5">
        <v>11.7</v>
      </c>
      <c r="O348" s="4">
        <f t="shared" si="10"/>
        <v>9348.2999999999993</v>
      </c>
      <c r="P348" s="4">
        <f t="shared" si="11"/>
        <v>70551.7</v>
      </c>
      <c r="Q348" s="3" t="s">
        <v>40</v>
      </c>
      <c r="R348" s="3" t="s">
        <v>67</v>
      </c>
      <c r="S348" s="3" t="s">
        <v>68</v>
      </c>
      <c r="T348" s="3" t="s">
        <v>26</v>
      </c>
    </row>
    <row r="349" spans="1:20" ht="15" customHeight="1" x14ac:dyDescent="0.3">
      <c r="A349" s="3" t="s">
        <v>1184</v>
      </c>
      <c r="B349" s="3" t="s">
        <v>1070</v>
      </c>
      <c r="C349" s="3" t="s">
        <v>0</v>
      </c>
      <c r="D349" s="3" t="s">
        <v>1185</v>
      </c>
      <c r="E349" s="3" t="s">
        <v>1186</v>
      </c>
      <c r="F349" s="3" t="s">
        <v>145</v>
      </c>
      <c r="G349" s="3" t="s">
        <v>324</v>
      </c>
      <c r="H349" s="3" t="s">
        <v>19</v>
      </c>
      <c r="I349" s="3">
        <v>149</v>
      </c>
      <c r="J349" s="3" t="s">
        <v>243</v>
      </c>
      <c r="K349" s="3" t="s">
        <v>11</v>
      </c>
      <c r="L349" s="3" t="s">
        <v>66</v>
      </c>
      <c r="M349" s="4">
        <v>119900</v>
      </c>
      <c r="N349" s="5">
        <v>3.2</v>
      </c>
      <c r="O349" s="4">
        <f t="shared" si="10"/>
        <v>3836.8</v>
      </c>
      <c r="P349" s="4">
        <f t="shared" si="11"/>
        <v>116063.2</v>
      </c>
      <c r="Q349" s="3" t="s">
        <v>28</v>
      </c>
      <c r="R349" s="3" t="s">
        <v>68</v>
      </c>
      <c r="S349" s="3" t="s">
        <v>68</v>
      </c>
      <c r="T349" s="3" t="s">
        <v>26</v>
      </c>
    </row>
    <row r="350" spans="1:20" ht="15" customHeight="1" x14ac:dyDescent="0.3">
      <c r="A350" s="3" t="s">
        <v>1187</v>
      </c>
      <c r="B350" s="3" t="s">
        <v>366</v>
      </c>
      <c r="C350" s="3" t="s">
        <v>4</v>
      </c>
      <c r="D350" s="3" t="s">
        <v>932</v>
      </c>
      <c r="E350" s="3" t="s">
        <v>1188</v>
      </c>
      <c r="F350" s="3" t="s">
        <v>117</v>
      </c>
      <c r="G350" s="3" t="s">
        <v>80</v>
      </c>
      <c r="H350" s="3" t="s">
        <v>22</v>
      </c>
      <c r="I350" s="3">
        <v>0</v>
      </c>
      <c r="J350" s="3" t="s">
        <v>89</v>
      </c>
      <c r="K350" s="3" t="s">
        <v>11</v>
      </c>
      <c r="L350" s="3" t="s">
        <v>90</v>
      </c>
      <c r="M350" s="4">
        <v>145000</v>
      </c>
      <c r="N350" s="5">
        <v>13.5</v>
      </c>
      <c r="O350" s="4">
        <f t="shared" si="10"/>
        <v>19575</v>
      </c>
      <c r="P350" s="4">
        <f t="shared" si="11"/>
        <v>125425</v>
      </c>
      <c r="Q350" s="3" t="s">
        <v>31</v>
      </c>
      <c r="R350" s="3" t="s">
        <v>67</v>
      </c>
      <c r="S350" s="3" t="s">
        <v>68</v>
      </c>
      <c r="T350" s="3" t="s">
        <v>26</v>
      </c>
    </row>
    <row r="351" spans="1:20" ht="15" customHeight="1" x14ac:dyDescent="0.3">
      <c r="A351" s="3" t="s">
        <v>1189</v>
      </c>
      <c r="B351" s="3" t="s">
        <v>76</v>
      </c>
      <c r="C351" s="3" t="s">
        <v>4</v>
      </c>
      <c r="D351" s="3" t="s">
        <v>1190</v>
      </c>
      <c r="E351" s="3" t="s">
        <v>1191</v>
      </c>
      <c r="F351" s="3" t="s">
        <v>174</v>
      </c>
      <c r="G351" s="3" t="s">
        <v>211</v>
      </c>
      <c r="H351" s="3" t="s">
        <v>20</v>
      </c>
      <c r="I351" s="3">
        <v>350</v>
      </c>
      <c r="J351" s="3" t="s">
        <v>102</v>
      </c>
      <c r="K351" s="3" t="s">
        <v>5</v>
      </c>
      <c r="L351" s="3" t="s">
        <v>90</v>
      </c>
      <c r="M351" s="4">
        <v>199900</v>
      </c>
      <c r="N351" s="5">
        <v>4.7</v>
      </c>
      <c r="O351" s="4">
        <f t="shared" si="10"/>
        <v>9395.2999999999993</v>
      </c>
      <c r="P351" s="4">
        <f t="shared" si="11"/>
        <v>190504.7</v>
      </c>
      <c r="Q351" s="3" t="s">
        <v>34</v>
      </c>
      <c r="R351" s="3" t="s">
        <v>68</v>
      </c>
      <c r="S351" s="3" t="s">
        <v>68</v>
      </c>
      <c r="T351" s="3" t="s">
        <v>26</v>
      </c>
    </row>
    <row r="352" spans="1:20" ht="15" customHeight="1" x14ac:dyDescent="0.3">
      <c r="A352" s="3" t="s">
        <v>1192</v>
      </c>
      <c r="B352" s="3" t="s">
        <v>300</v>
      </c>
      <c r="C352" s="3" t="s">
        <v>12</v>
      </c>
      <c r="D352" s="3" t="s">
        <v>719</v>
      </c>
      <c r="E352" s="3" t="s">
        <v>1193</v>
      </c>
      <c r="F352" s="3" t="s">
        <v>87</v>
      </c>
      <c r="G352" s="3" t="s">
        <v>135</v>
      </c>
      <c r="H352" s="3" t="s">
        <v>19</v>
      </c>
      <c r="I352" s="3">
        <v>160</v>
      </c>
      <c r="J352" s="3" t="s">
        <v>164</v>
      </c>
      <c r="K352" s="3" t="s">
        <v>9</v>
      </c>
      <c r="L352" s="3" t="s">
        <v>82</v>
      </c>
      <c r="M352" s="4">
        <v>124900</v>
      </c>
      <c r="N352" s="5">
        <v>5.3</v>
      </c>
      <c r="O352" s="4">
        <f t="shared" si="10"/>
        <v>6619.7</v>
      </c>
      <c r="P352" s="4">
        <f t="shared" si="11"/>
        <v>118280.3</v>
      </c>
      <c r="Q352" s="3" t="s">
        <v>36</v>
      </c>
      <c r="R352" s="3" t="s">
        <v>67</v>
      </c>
      <c r="S352" s="3" t="s">
        <v>68</v>
      </c>
      <c r="T352" s="3" t="s">
        <v>26</v>
      </c>
    </row>
    <row r="353" spans="1:20" ht="15" customHeight="1" x14ac:dyDescent="0.3">
      <c r="A353" s="3" t="s">
        <v>1194</v>
      </c>
      <c r="B353" s="3" t="s">
        <v>109</v>
      </c>
      <c r="C353" s="3" t="s">
        <v>2</v>
      </c>
      <c r="D353" s="3" t="s">
        <v>1195</v>
      </c>
      <c r="E353" s="3" t="s">
        <v>1196</v>
      </c>
      <c r="F353" s="3" t="s">
        <v>145</v>
      </c>
      <c r="G353" s="3" t="s">
        <v>256</v>
      </c>
      <c r="H353" s="3" t="s">
        <v>21</v>
      </c>
      <c r="I353" s="3">
        <v>110</v>
      </c>
      <c r="J353" s="3" t="s">
        <v>164</v>
      </c>
      <c r="K353" s="3" t="s">
        <v>11</v>
      </c>
      <c r="L353" s="3" t="s">
        <v>90</v>
      </c>
      <c r="M353" s="4">
        <v>80900</v>
      </c>
      <c r="N353" s="5">
        <v>5.9</v>
      </c>
      <c r="O353" s="4">
        <f t="shared" si="10"/>
        <v>4773.1000000000004</v>
      </c>
      <c r="P353" s="4">
        <f t="shared" si="11"/>
        <v>76126.899999999994</v>
      </c>
      <c r="Q353" s="3" t="s">
        <v>36</v>
      </c>
      <c r="R353" s="3" t="s">
        <v>67</v>
      </c>
      <c r="S353" s="3" t="s">
        <v>67</v>
      </c>
      <c r="T353" s="3" t="s">
        <v>29</v>
      </c>
    </row>
    <row r="354" spans="1:20" ht="15" customHeight="1" x14ac:dyDescent="0.3">
      <c r="A354" s="3" t="s">
        <v>1197</v>
      </c>
      <c r="B354" s="3" t="s">
        <v>234</v>
      </c>
      <c r="C354" s="3" t="s">
        <v>14</v>
      </c>
      <c r="D354" s="3" t="s">
        <v>250</v>
      </c>
      <c r="E354" s="3" t="s">
        <v>1198</v>
      </c>
      <c r="F354" s="3" t="s">
        <v>145</v>
      </c>
      <c r="G354" s="3" t="s">
        <v>146</v>
      </c>
      <c r="H354" s="3" t="s">
        <v>18</v>
      </c>
      <c r="I354" s="3">
        <v>110</v>
      </c>
      <c r="J354" s="3" t="s">
        <v>243</v>
      </c>
      <c r="K354" s="3" t="s">
        <v>3</v>
      </c>
      <c r="L354" s="3" t="s">
        <v>90</v>
      </c>
      <c r="M354" s="4">
        <v>74900</v>
      </c>
      <c r="N354" s="5">
        <v>10.4</v>
      </c>
      <c r="O354" s="4">
        <f t="shared" si="10"/>
        <v>7789.6</v>
      </c>
      <c r="P354" s="4">
        <f t="shared" si="11"/>
        <v>67110.399999999994</v>
      </c>
      <c r="Q354" s="3" t="s">
        <v>38</v>
      </c>
      <c r="R354" s="3" t="s">
        <v>67</v>
      </c>
      <c r="S354" s="3" t="s">
        <v>68</v>
      </c>
      <c r="T354" s="3" t="s">
        <v>26</v>
      </c>
    </row>
    <row r="355" spans="1:20" ht="15" customHeight="1" x14ac:dyDescent="0.3">
      <c r="A355" s="3" t="s">
        <v>1199</v>
      </c>
      <c r="B355" s="3" t="s">
        <v>1023</v>
      </c>
      <c r="C355" s="3" t="s">
        <v>8</v>
      </c>
      <c r="D355" s="3" t="s">
        <v>1200</v>
      </c>
      <c r="E355" s="3" t="s">
        <v>1201</v>
      </c>
      <c r="F355" s="3" t="s">
        <v>117</v>
      </c>
      <c r="G355" s="3" t="s">
        <v>80</v>
      </c>
      <c r="H355" s="3" t="s">
        <v>22</v>
      </c>
      <c r="I355" s="3">
        <v>0</v>
      </c>
      <c r="J355" s="3" t="s">
        <v>89</v>
      </c>
      <c r="K355" s="3" t="s">
        <v>5</v>
      </c>
      <c r="L355" s="3" t="s">
        <v>206</v>
      </c>
      <c r="M355" s="4">
        <v>145000</v>
      </c>
      <c r="N355" s="5">
        <v>3.7</v>
      </c>
      <c r="O355" s="4">
        <f t="shared" si="10"/>
        <v>5365</v>
      </c>
      <c r="P355" s="4">
        <f t="shared" si="11"/>
        <v>139635</v>
      </c>
      <c r="Q355" s="3" t="s">
        <v>25</v>
      </c>
      <c r="R355" s="3" t="s">
        <v>67</v>
      </c>
      <c r="S355" s="3" t="s">
        <v>68</v>
      </c>
      <c r="T355" s="3" t="s">
        <v>26</v>
      </c>
    </row>
    <row r="356" spans="1:20" ht="15" customHeight="1" x14ac:dyDescent="0.3">
      <c r="A356" s="3" t="s">
        <v>1202</v>
      </c>
      <c r="B356" s="3" t="s">
        <v>293</v>
      </c>
      <c r="C356" s="3" t="s">
        <v>10</v>
      </c>
      <c r="D356" s="3" t="s">
        <v>1203</v>
      </c>
      <c r="E356" s="3" t="s">
        <v>1204</v>
      </c>
      <c r="F356" s="3" t="s">
        <v>145</v>
      </c>
      <c r="G356" s="3" t="s">
        <v>222</v>
      </c>
      <c r="H356" s="3" t="s">
        <v>19</v>
      </c>
      <c r="I356" s="3">
        <v>155</v>
      </c>
      <c r="J356" s="3" t="s">
        <v>129</v>
      </c>
      <c r="K356" s="3" t="s">
        <v>3</v>
      </c>
      <c r="L356" s="3" t="s">
        <v>103</v>
      </c>
      <c r="M356" s="4">
        <v>167900</v>
      </c>
      <c r="N356" s="5">
        <v>4.4000000000000004</v>
      </c>
      <c r="O356" s="4">
        <f t="shared" si="10"/>
        <v>7387.6000000000013</v>
      </c>
      <c r="P356" s="4">
        <f t="shared" si="11"/>
        <v>160512.4</v>
      </c>
      <c r="Q356" s="3" t="s">
        <v>34</v>
      </c>
      <c r="R356" s="3" t="s">
        <v>67</v>
      </c>
      <c r="S356" s="3" t="s">
        <v>67</v>
      </c>
      <c r="T356" s="3" t="s">
        <v>26</v>
      </c>
    </row>
    <row r="357" spans="1:20" ht="15" customHeight="1" x14ac:dyDescent="0.3">
      <c r="A357" s="3" t="s">
        <v>1205</v>
      </c>
      <c r="B357" s="3" t="s">
        <v>493</v>
      </c>
      <c r="C357" s="3" t="s">
        <v>14</v>
      </c>
      <c r="D357" s="3" t="s">
        <v>1206</v>
      </c>
      <c r="E357" s="3" t="s">
        <v>1207</v>
      </c>
      <c r="F357" s="3" t="s">
        <v>79</v>
      </c>
      <c r="G357" s="3" t="s">
        <v>118</v>
      </c>
      <c r="H357" s="3" t="s">
        <v>20</v>
      </c>
      <c r="I357" s="3">
        <v>350</v>
      </c>
      <c r="J357" s="3" t="s">
        <v>89</v>
      </c>
      <c r="K357" s="3" t="s">
        <v>7</v>
      </c>
      <c r="L357" s="3" t="s">
        <v>97</v>
      </c>
      <c r="M357" s="4">
        <v>159900</v>
      </c>
      <c r="N357" s="5">
        <v>6</v>
      </c>
      <c r="O357" s="4">
        <f t="shared" si="10"/>
        <v>9594</v>
      </c>
      <c r="P357" s="4">
        <f t="shared" si="11"/>
        <v>150306</v>
      </c>
      <c r="Q357" s="3" t="s">
        <v>40</v>
      </c>
      <c r="R357" s="3" t="s">
        <v>67</v>
      </c>
      <c r="S357" s="3" t="s">
        <v>68</v>
      </c>
      <c r="T357" s="3" t="s">
        <v>26</v>
      </c>
    </row>
    <row r="358" spans="1:20" ht="15" customHeight="1" x14ac:dyDescent="0.3">
      <c r="A358" s="3" t="s">
        <v>1208</v>
      </c>
      <c r="B358" s="3" t="s">
        <v>99</v>
      </c>
      <c r="C358" s="3" t="s">
        <v>13</v>
      </c>
      <c r="D358" s="3" t="s">
        <v>1209</v>
      </c>
      <c r="E358" s="3" t="s">
        <v>1210</v>
      </c>
      <c r="F358" s="3" t="s">
        <v>79</v>
      </c>
      <c r="G358" s="3" t="s">
        <v>184</v>
      </c>
      <c r="H358" s="3" t="s">
        <v>18</v>
      </c>
      <c r="I358" s="3">
        <v>125</v>
      </c>
      <c r="J358" s="3" t="s">
        <v>164</v>
      </c>
      <c r="K358" s="3" t="s">
        <v>7</v>
      </c>
      <c r="L358" s="3" t="s">
        <v>97</v>
      </c>
      <c r="M358" s="4">
        <v>79900</v>
      </c>
      <c r="N358" s="5">
        <v>10.6</v>
      </c>
      <c r="O358" s="4">
        <f t="shared" si="10"/>
        <v>8469.4</v>
      </c>
      <c r="P358" s="4">
        <f t="shared" si="11"/>
        <v>71430.600000000006</v>
      </c>
      <c r="Q358" s="3" t="s">
        <v>40</v>
      </c>
      <c r="R358" s="3" t="s">
        <v>67</v>
      </c>
      <c r="S358" s="3" t="s">
        <v>68</v>
      </c>
      <c r="T358" s="3" t="s">
        <v>26</v>
      </c>
    </row>
    <row r="359" spans="1:20" ht="15" customHeight="1" x14ac:dyDescent="0.3">
      <c r="A359" s="3" t="s">
        <v>1211</v>
      </c>
      <c r="B359" s="3" t="s">
        <v>245</v>
      </c>
      <c r="C359" s="3" t="s">
        <v>14</v>
      </c>
      <c r="D359" s="3" t="s">
        <v>1212</v>
      </c>
      <c r="E359" s="3" t="s">
        <v>1213</v>
      </c>
      <c r="F359" s="3" t="s">
        <v>155</v>
      </c>
      <c r="G359" s="3" t="s">
        <v>80</v>
      </c>
      <c r="H359" s="3" t="s">
        <v>22</v>
      </c>
      <c r="I359" s="3">
        <v>0</v>
      </c>
      <c r="J359" s="3" t="s">
        <v>164</v>
      </c>
      <c r="K359" s="3" t="s">
        <v>11</v>
      </c>
      <c r="L359" s="3" t="s">
        <v>103</v>
      </c>
      <c r="M359" s="4">
        <v>145000</v>
      </c>
      <c r="N359" s="5">
        <v>8.1999999999999993</v>
      </c>
      <c r="O359" s="4">
        <f t="shared" si="10"/>
        <v>11890</v>
      </c>
      <c r="P359" s="4">
        <f t="shared" si="11"/>
        <v>133110</v>
      </c>
      <c r="Q359" s="3" t="s">
        <v>38</v>
      </c>
      <c r="R359" s="3" t="s">
        <v>68</v>
      </c>
      <c r="S359" s="3" t="s">
        <v>68</v>
      </c>
      <c r="T359" s="3" t="s">
        <v>29</v>
      </c>
    </row>
    <row r="360" spans="1:20" ht="15" customHeight="1" x14ac:dyDescent="0.3">
      <c r="A360" s="3" t="s">
        <v>1214</v>
      </c>
      <c r="B360" s="3" t="s">
        <v>362</v>
      </c>
      <c r="C360" s="3" t="s">
        <v>2</v>
      </c>
      <c r="D360" s="3" t="s">
        <v>1215</v>
      </c>
      <c r="E360" s="3" t="s">
        <v>1216</v>
      </c>
      <c r="F360" s="3" t="s">
        <v>112</v>
      </c>
      <c r="G360" s="3" t="s">
        <v>146</v>
      </c>
      <c r="H360" s="3" t="s">
        <v>18</v>
      </c>
      <c r="I360" s="3">
        <v>110</v>
      </c>
      <c r="J360" s="3" t="s">
        <v>164</v>
      </c>
      <c r="K360" s="3" t="s">
        <v>11</v>
      </c>
      <c r="L360" s="3" t="s">
        <v>97</v>
      </c>
      <c r="M360" s="4">
        <v>74900</v>
      </c>
      <c r="N360" s="5">
        <v>6.8</v>
      </c>
      <c r="O360" s="4">
        <f t="shared" si="10"/>
        <v>5093.2</v>
      </c>
      <c r="P360" s="4">
        <f t="shared" si="11"/>
        <v>69806.8</v>
      </c>
      <c r="Q360" s="3" t="s">
        <v>28</v>
      </c>
      <c r="R360" s="3" t="s">
        <v>67</v>
      </c>
      <c r="S360" s="3" t="s">
        <v>68</v>
      </c>
      <c r="T360" s="3" t="s">
        <v>26</v>
      </c>
    </row>
    <row r="361" spans="1:20" ht="15" customHeight="1" x14ac:dyDescent="0.3">
      <c r="A361" s="3" t="s">
        <v>1217</v>
      </c>
      <c r="B361" s="3" t="s">
        <v>444</v>
      </c>
      <c r="C361" s="3" t="s">
        <v>12</v>
      </c>
      <c r="D361" s="3" t="s">
        <v>1218</v>
      </c>
      <c r="E361" s="3" t="s">
        <v>1219</v>
      </c>
      <c r="F361" s="3" t="s">
        <v>87</v>
      </c>
      <c r="G361" s="3" t="s">
        <v>88</v>
      </c>
      <c r="H361" s="3" t="s">
        <v>18</v>
      </c>
      <c r="I361" s="3">
        <v>125</v>
      </c>
      <c r="J361" s="3" t="s">
        <v>164</v>
      </c>
      <c r="K361" s="3" t="s">
        <v>1</v>
      </c>
      <c r="L361" s="3" t="s">
        <v>206</v>
      </c>
      <c r="M361" s="4">
        <v>94900</v>
      </c>
      <c r="N361" s="5">
        <v>14.3</v>
      </c>
      <c r="O361" s="4">
        <f t="shared" si="10"/>
        <v>13570.7</v>
      </c>
      <c r="P361" s="4">
        <f t="shared" si="11"/>
        <v>81329.3</v>
      </c>
      <c r="Q361" s="3" t="s">
        <v>28</v>
      </c>
      <c r="R361" s="3" t="s">
        <v>67</v>
      </c>
      <c r="S361" s="3" t="s">
        <v>68</v>
      </c>
      <c r="T361" s="3" t="s">
        <v>26</v>
      </c>
    </row>
    <row r="362" spans="1:20" ht="15" customHeight="1" x14ac:dyDescent="0.3">
      <c r="A362" s="3" t="s">
        <v>1220</v>
      </c>
      <c r="B362" s="3" t="s">
        <v>676</v>
      </c>
      <c r="C362" s="3" t="s">
        <v>15</v>
      </c>
      <c r="D362" s="3" t="s">
        <v>1221</v>
      </c>
      <c r="E362" s="3" t="s">
        <v>1222</v>
      </c>
      <c r="F362" s="3" t="s">
        <v>112</v>
      </c>
      <c r="G362" s="3" t="s">
        <v>256</v>
      </c>
      <c r="H362" s="3" t="s">
        <v>21</v>
      </c>
      <c r="I362" s="3">
        <v>110</v>
      </c>
      <c r="J362" s="3" t="s">
        <v>96</v>
      </c>
      <c r="K362" s="3" t="s">
        <v>1</v>
      </c>
      <c r="L362" s="3" t="s">
        <v>103</v>
      </c>
      <c r="M362" s="4">
        <v>80900</v>
      </c>
      <c r="N362" s="5">
        <v>12.6</v>
      </c>
      <c r="O362" s="4">
        <f t="shared" si="10"/>
        <v>10193.4</v>
      </c>
      <c r="P362" s="4">
        <f t="shared" si="11"/>
        <v>70706.600000000006</v>
      </c>
      <c r="Q362" s="3" t="s">
        <v>34</v>
      </c>
      <c r="R362" s="3" t="s">
        <v>68</v>
      </c>
      <c r="S362" s="3" t="s">
        <v>68</v>
      </c>
      <c r="T362" s="3" t="s">
        <v>32</v>
      </c>
    </row>
    <row r="363" spans="1:20" ht="15" customHeight="1" x14ac:dyDescent="0.3">
      <c r="A363" s="3" t="s">
        <v>1223</v>
      </c>
      <c r="B363" s="3" t="s">
        <v>809</v>
      </c>
      <c r="C363" s="3" t="s">
        <v>17</v>
      </c>
      <c r="D363" s="3" t="s">
        <v>1224</v>
      </c>
      <c r="E363" s="3" t="s">
        <v>1225</v>
      </c>
      <c r="F363" s="3" t="s">
        <v>117</v>
      </c>
      <c r="G363" s="3" t="s">
        <v>256</v>
      </c>
      <c r="H363" s="3" t="s">
        <v>21</v>
      </c>
      <c r="I363" s="3">
        <v>110</v>
      </c>
      <c r="J363" s="3" t="s">
        <v>89</v>
      </c>
      <c r="K363" s="3" t="s">
        <v>1</v>
      </c>
      <c r="L363" s="3" t="s">
        <v>136</v>
      </c>
      <c r="M363" s="4">
        <v>80900</v>
      </c>
      <c r="N363" s="5">
        <v>13.4</v>
      </c>
      <c r="O363" s="4">
        <f t="shared" si="10"/>
        <v>10840.6</v>
      </c>
      <c r="P363" s="4">
        <f t="shared" si="11"/>
        <v>70059.399999999994</v>
      </c>
      <c r="Q363" s="3" t="s">
        <v>36</v>
      </c>
      <c r="R363" s="3" t="s">
        <v>67</v>
      </c>
      <c r="S363" s="3" t="s">
        <v>68</v>
      </c>
      <c r="T363" s="3" t="s">
        <v>26</v>
      </c>
    </row>
    <row r="364" spans="1:20" ht="15" customHeight="1" x14ac:dyDescent="0.3">
      <c r="A364" s="3" t="s">
        <v>1226</v>
      </c>
      <c r="B364" s="3" t="s">
        <v>437</v>
      </c>
      <c r="C364" s="3" t="s">
        <v>0</v>
      </c>
      <c r="D364" s="3" t="s">
        <v>615</v>
      </c>
      <c r="E364" s="3" t="s">
        <v>1227</v>
      </c>
      <c r="F364" s="3" t="s">
        <v>174</v>
      </c>
      <c r="G364" s="3" t="s">
        <v>64</v>
      </c>
      <c r="H364" s="3" t="s">
        <v>19</v>
      </c>
      <c r="I364" s="3">
        <v>200</v>
      </c>
      <c r="J364" s="3" t="s">
        <v>243</v>
      </c>
      <c r="K364" s="3" t="s">
        <v>5</v>
      </c>
      <c r="L364" s="3" t="s">
        <v>103</v>
      </c>
      <c r="M364" s="4">
        <v>199900</v>
      </c>
      <c r="N364" s="5">
        <v>7.7</v>
      </c>
      <c r="O364" s="4">
        <f t="shared" si="10"/>
        <v>15392.3</v>
      </c>
      <c r="P364" s="4">
        <f t="shared" si="11"/>
        <v>184507.7</v>
      </c>
      <c r="Q364" s="3" t="s">
        <v>25</v>
      </c>
      <c r="R364" s="3" t="s">
        <v>67</v>
      </c>
      <c r="S364" s="3" t="s">
        <v>68</v>
      </c>
      <c r="T364" s="3" t="s">
        <v>26</v>
      </c>
    </row>
    <row r="365" spans="1:20" ht="15" customHeight="1" x14ac:dyDescent="0.3">
      <c r="A365" s="3" t="s">
        <v>1228</v>
      </c>
      <c r="B365" s="3" t="s">
        <v>176</v>
      </c>
      <c r="C365" s="3" t="s">
        <v>16</v>
      </c>
      <c r="D365" s="3" t="s">
        <v>1229</v>
      </c>
      <c r="E365" s="3" t="s">
        <v>1230</v>
      </c>
      <c r="F365" s="3" t="s">
        <v>155</v>
      </c>
      <c r="G365" s="3" t="s">
        <v>324</v>
      </c>
      <c r="H365" s="3" t="s">
        <v>19</v>
      </c>
      <c r="I365" s="3">
        <v>149</v>
      </c>
      <c r="J365" s="3" t="s">
        <v>179</v>
      </c>
      <c r="K365" s="3" t="s">
        <v>5</v>
      </c>
      <c r="L365" s="3" t="s">
        <v>206</v>
      </c>
      <c r="M365" s="4">
        <v>119900</v>
      </c>
      <c r="N365" s="5">
        <v>9.1</v>
      </c>
      <c r="O365" s="4">
        <f t="shared" si="10"/>
        <v>10910.9</v>
      </c>
      <c r="P365" s="4">
        <f t="shared" si="11"/>
        <v>108989.1</v>
      </c>
      <c r="Q365" s="3" t="s">
        <v>40</v>
      </c>
      <c r="R365" s="3" t="s">
        <v>67</v>
      </c>
      <c r="S365" s="3" t="s">
        <v>68</v>
      </c>
      <c r="T365" s="3" t="s">
        <v>29</v>
      </c>
    </row>
    <row r="366" spans="1:20" ht="15" customHeight="1" x14ac:dyDescent="0.3">
      <c r="A366" s="3" t="s">
        <v>1231</v>
      </c>
      <c r="B366" s="3" t="s">
        <v>1023</v>
      </c>
      <c r="C366" s="3" t="s">
        <v>8</v>
      </c>
      <c r="D366" s="3" t="s">
        <v>1232</v>
      </c>
      <c r="E366" s="3" t="s">
        <v>1233</v>
      </c>
      <c r="F366" s="3" t="s">
        <v>155</v>
      </c>
      <c r="G366" s="3" t="s">
        <v>64</v>
      </c>
      <c r="H366" s="3" t="s">
        <v>19</v>
      </c>
      <c r="I366" s="3">
        <v>200</v>
      </c>
      <c r="J366" s="3" t="s">
        <v>179</v>
      </c>
      <c r="K366" s="3" t="s">
        <v>5</v>
      </c>
      <c r="L366" s="3" t="s">
        <v>82</v>
      </c>
      <c r="M366" s="4">
        <v>199900</v>
      </c>
      <c r="N366" s="5">
        <v>13.3</v>
      </c>
      <c r="O366" s="4">
        <f t="shared" si="10"/>
        <v>26586.7</v>
      </c>
      <c r="P366" s="4">
        <f t="shared" si="11"/>
        <v>173313.3</v>
      </c>
      <c r="Q366" s="3" t="s">
        <v>31</v>
      </c>
      <c r="R366" s="3" t="s">
        <v>68</v>
      </c>
      <c r="S366" s="3" t="s">
        <v>67</v>
      </c>
      <c r="T366" s="3" t="s">
        <v>29</v>
      </c>
    </row>
    <row r="367" spans="1:20" ht="15" customHeight="1" x14ac:dyDescent="0.3">
      <c r="A367" s="3" t="s">
        <v>1234</v>
      </c>
      <c r="B367" s="3" t="s">
        <v>621</v>
      </c>
      <c r="C367" s="3" t="s">
        <v>13</v>
      </c>
      <c r="D367" s="3" t="s">
        <v>1235</v>
      </c>
      <c r="E367" s="3" t="s">
        <v>1236</v>
      </c>
      <c r="F367" s="3" t="s">
        <v>63</v>
      </c>
      <c r="G367" s="3" t="s">
        <v>135</v>
      </c>
      <c r="H367" s="3" t="s">
        <v>19</v>
      </c>
      <c r="I367" s="3">
        <v>160</v>
      </c>
      <c r="J367" s="3" t="s">
        <v>164</v>
      </c>
      <c r="K367" s="3" t="s">
        <v>5</v>
      </c>
      <c r="L367" s="3" t="s">
        <v>136</v>
      </c>
      <c r="M367" s="4">
        <v>124900</v>
      </c>
      <c r="N367" s="5">
        <v>13.8</v>
      </c>
      <c r="O367" s="4">
        <f t="shared" si="10"/>
        <v>17236.2</v>
      </c>
      <c r="P367" s="4">
        <f t="shared" si="11"/>
        <v>107663.8</v>
      </c>
      <c r="Q367" s="3" t="s">
        <v>25</v>
      </c>
      <c r="R367" s="3" t="s">
        <v>68</v>
      </c>
      <c r="S367" s="3" t="s">
        <v>68</v>
      </c>
      <c r="T367" s="3" t="s">
        <v>26</v>
      </c>
    </row>
    <row r="368" spans="1:20" ht="15" customHeight="1" x14ac:dyDescent="0.3">
      <c r="A368" s="3" t="s">
        <v>1237</v>
      </c>
      <c r="B368" s="3" t="s">
        <v>521</v>
      </c>
      <c r="C368" s="3" t="s">
        <v>15</v>
      </c>
      <c r="D368" s="3" t="s">
        <v>1238</v>
      </c>
      <c r="E368" s="3" t="s">
        <v>1239</v>
      </c>
      <c r="F368" s="3" t="s">
        <v>124</v>
      </c>
      <c r="G368" s="3" t="s">
        <v>80</v>
      </c>
      <c r="H368" s="3" t="s">
        <v>22</v>
      </c>
      <c r="I368" s="3">
        <v>0</v>
      </c>
      <c r="J368" s="3" t="s">
        <v>96</v>
      </c>
      <c r="K368" s="3" t="s">
        <v>7</v>
      </c>
      <c r="L368" s="3" t="s">
        <v>206</v>
      </c>
      <c r="M368" s="4">
        <v>145000</v>
      </c>
      <c r="N368" s="5">
        <v>10.7</v>
      </c>
      <c r="O368" s="4">
        <f t="shared" si="10"/>
        <v>15515</v>
      </c>
      <c r="P368" s="4">
        <f t="shared" si="11"/>
        <v>129485</v>
      </c>
      <c r="Q368" s="3" t="s">
        <v>38</v>
      </c>
      <c r="R368" s="3" t="s">
        <v>67</v>
      </c>
      <c r="S368" s="3" t="s">
        <v>68</v>
      </c>
      <c r="T368" s="3" t="s">
        <v>26</v>
      </c>
    </row>
    <row r="369" spans="1:20" ht="15" customHeight="1" x14ac:dyDescent="0.3">
      <c r="A369" s="3" t="s">
        <v>1240</v>
      </c>
      <c r="B369" s="3" t="s">
        <v>794</v>
      </c>
      <c r="C369" s="3" t="s">
        <v>8</v>
      </c>
      <c r="D369" s="3" t="s">
        <v>1241</v>
      </c>
      <c r="E369" s="3" t="s">
        <v>1242</v>
      </c>
      <c r="F369" s="3" t="s">
        <v>134</v>
      </c>
      <c r="G369" s="3" t="s">
        <v>316</v>
      </c>
      <c r="H369" s="3" t="s">
        <v>19</v>
      </c>
      <c r="I369" s="3">
        <v>150</v>
      </c>
      <c r="J369" s="3" t="s">
        <v>96</v>
      </c>
      <c r="K369" s="3" t="s">
        <v>7</v>
      </c>
      <c r="L369" s="3" t="s">
        <v>74</v>
      </c>
      <c r="M369" s="4">
        <v>109900</v>
      </c>
      <c r="N369" s="5">
        <v>3.1</v>
      </c>
      <c r="O369" s="4">
        <f t="shared" si="10"/>
        <v>3406.9</v>
      </c>
      <c r="P369" s="4">
        <f t="shared" si="11"/>
        <v>106493.1</v>
      </c>
      <c r="Q369" s="3" t="s">
        <v>31</v>
      </c>
      <c r="R369" s="3" t="s">
        <v>67</v>
      </c>
      <c r="S369" s="3" t="s">
        <v>68</v>
      </c>
      <c r="T369" s="3" t="s">
        <v>26</v>
      </c>
    </row>
    <row r="370" spans="1:20" ht="15" customHeight="1" x14ac:dyDescent="0.3">
      <c r="A370" s="3" t="s">
        <v>1243</v>
      </c>
      <c r="B370" s="3" t="s">
        <v>234</v>
      </c>
      <c r="C370" s="3" t="s">
        <v>14</v>
      </c>
      <c r="D370" s="3" t="s">
        <v>1244</v>
      </c>
      <c r="E370" s="3" t="s">
        <v>1245</v>
      </c>
      <c r="F370" s="3" t="s">
        <v>79</v>
      </c>
      <c r="G370" s="3" t="s">
        <v>201</v>
      </c>
      <c r="H370" s="3" t="s">
        <v>19</v>
      </c>
      <c r="I370" s="3">
        <v>160</v>
      </c>
      <c r="J370" s="3" t="s">
        <v>129</v>
      </c>
      <c r="K370" s="3" t="s">
        <v>11</v>
      </c>
      <c r="L370" s="3" t="s">
        <v>82</v>
      </c>
      <c r="M370" s="4">
        <v>129900</v>
      </c>
      <c r="N370" s="5">
        <v>8.1999999999999993</v>
      </c>
      <c r="O370" s="4">
        <f t="shared" si="10"/>
        <v>10651.8</v>
      </c>
      <c r="P370" s="4">
        <f t="shared" si="11"/>
        <v>119248.2</v>
      </c>
      <c r="Q370" s="3" t="s">
        <v>31</v>
      </c>
      <c r="R370" s="3" t="s">
        <v>68</v>
      </c>
      <c r="S370" s="3" t="s">
        <v>68</v>
      </c>
      <c r="T370" s="3" t="s">
        <v>32</v>
      </c>
    </row>
    <row r="371" spans="1:20" ht="15" customHeight="1" x14ac:dyDescent="0.3">
      <c r="A371" s="3" t="s">
        <v>1246</v>
      </c>
      <c r="B371" s="3" t="s">
        <v>234</v>
      </c>
      <c r="C371" s="3" t="s">
        <v>14</v>
      </c>
      <c r="D371" s="3" t="s">
        <v>1247</v>
      </c>
      <c r="E371" s="3" t="s">
        <v>1248</v>
      </c>
      <c r="F371" s="3" t="s">
        <v>155</v>
      </c>
      <c r="G371" s="3" t="s">
        <v>73</v>
      </c>
      <c r="H371" s="3" t="s">
        <v>21</v>
      </c>
      <c r="I371" s="3">
        <v>110</v>
      </c>
      <c r="J371" s="3" t="s">
        <v>102</v>
      </c>
      <c r="K371" s="3" t="s">
        <v>11</v>
      </c>
      <c r="L371" s="3" t="s">
        <v>74</v>
      </c>
      <c r="M371" s="4">
        <v>79900</v>
      </c>
      <c r="N371" s="5">
        <v>4.9000000000000004</v>
      </c>
      <c r="O371" s="4">
        <f t="shared" si="10"/>
        <v>3915.1</v>
      </c>
      <c r="P371" s="4">
        <f t="shared" si="11"/>
        <v>75984.899999999994</v>
      </c>
      <c r="Q371" s="3" t="s">
        <v>31</v>
      </c>
      <c r="R371" s="3" t="s">
        <v>68</v>
      </c>
      <c r="S371" s="3" t="s">
        <v>68</v>
      </c>
      <c r="T371" s="3" t="s">
        <v>26</v>
      </c>
    </row>
    <row r="372" spans="1:20" ht="15" customHeight="1" x14ac:dyDescent="0.3">
      <c r="A372" s="3" t="s">
        <v>1249</v>
      </c>
      <c r="B372" s="3" t="s">
        <v>794</v>
      </c>
      <c r="C372" s="3" t="s">
        <v>8</v>
      </c>
      <c r="D372" s="3" t="s">
        <v>385</v>
      </c>
      <c r="E372" s="3" t="s">
        <v>1250</v>
      </c>
      <c r="F372" s="3" t="s">
        <v>134</v>
      </c>
      <c r="G372" s="3" t="s">
        <v>189</v>
      </c>
      <c r="H372" s="3" t="s">
        <v>18</v>
      </c>
      <c r="I372" s="3">
        <v>100</v>
      </c>
      <c r="J372" s="3" t="s">
        <v>179</v>
      </c>
      <c r="K372" s="3" t="s">
        <v>9</v>
      </c>
      <c r="L372" s="3" t="s">
        <v>74</v>
      </c>
      <c r="M372" s="4">
        <v>72900</v>
      </c>
      <c r="N372" s="5">
        <v>15</v>
      </c>
      <c r="O372" s="4">
        <f t="shared" si="10"/>
        <v>10935</v>
      </c>
      <c r="P372" s="4">
        <f t="shared" si="11"/>
        <v>61965</v>
      </c>
      <c r="Q372" s="3" t="s">
        <v>38</v>
      </c>
      <c r="R372" s="3" t="s">
        <v>67</v>
      </c>
      <c r="S372" s="3" t="s">
        <v>68</v>
      </c>
      <c r="T372" s="3" t="s">
        <v>26</v>
      </c>
    </row>
    <row r="373" spans="1:20" ht="15" customHeight="1" x14ac:dyDescent="0.3">
      <c r="A373" s="3" t="s">
        <v>1251</v>
      </c>
      <c r="B373" s="3" t="s">
        <v>467</v>
      </c>
      <c r="C373" s="3" t="s">
        <v>14</v>
      </c>
      <c r="D373" s="3" t="s">
        <v>1252</v>
      </c>
      <c r="E373" s="3" t="s">
        <v>1253</v>
      </c>
      <c r="F373" s="3" t="s">
        <v>145</v>
      </c>
      <c r="G373" s="3" t="s">
        <v>146</v>
      </c>
      <c r="H373" s="3" t="s">
        <v>18</v>
      </c>
      <c r="I373" s="3">
        <v>110</v>
      </c>
      <c r="J373" s="3" t="s">
        <v>129</v>
      </c>
      <c r="K373" s="3" t="s">
        <v>9</v>
      </c>
      <c r="L373" s="3" t="s">
        <v>66</v>
      </c>
      <c r="M373" s="4">
        <v>74900</v>
      </c>
      <c r="N373" s="5">
        <v>9.1</v>
      </c>
      <c r="O373" s="4">
        <f t="shared" si="10"/>
        <v>6815.9</v>
      </c>
      <c r="P373" s="4">
        <f t="shared" si="11"/>
        <v>68084.100000000006</v>
      </c>
      <c r="Q373" s="3" t="s">
        <v>28</v>
      </c>
      <c r="R373" s="3" t="s">
        <v>67</v>
      </c>
      <c r="S373" s="3" t="s">
        <v>67</v>
      </c>
      <c r="T373" s="3" t="s">
        <v>26</v>
      </c>
    </row>
    <row r="374" spans="1:20" ht="15" customHeight="1" x14ac:dyDescent="0.3">
      <c r="A374" s="3" t="s">
        <v>1254</v>
      </c>
      <c r="B374" s="3" t="s">
        <v>366</v>
      </c>
      <c r="C374" s="3" t="s">
        <v>4</v>
      </c>
      <c r="D374" s="3" t="s">
        <v>1255</v>
      </c>
      <c r="E374" s="3" t="s">
        <v>1256</v>
      </c>
      <c r="F374" s="3" t="s">
        <v>174</v>
      </c>
      <c r="G374" s="3" t="s">
        <v>156</v>
      </c>
      <c r="H374" s="3" t="s">
        <v>21</v>
      </c>
      <c r="I374" s="3">
        <v>125</v>
      </c>
      <c r="J374" s="3" t="s">
        <v>119</v>
      </c>
      <c r="K374" s="3" t="s">
        <v>7</v>
      </c>
      <c r="L374" s="3" t="s">
        <v>66</v>
      </c>
      <c r="M374" s="4">
        <v>88900</v>
      </c>
      <c r="N374" s="5">
        <v>9.1999999999999993</v>
      </c>
      <c r="O374" s="4">
        <f t="shared" si="10"/>
        <v>8178.7999999999993</v>
      </c>
      <c r="P374" s="4">
        <f t="shared" si="11"/>
        <v>80721.2</v>
      </c>
      <c r="Q374" s="3" t="s">
        <v>40</v>
      </c>
      <c r="R374" s="3" t="s">
        <v>67</v>
      </c>
      <c r="S374" s="3" t="s">
        <v>68</v>
      </c>
      <c r="T374" s="3" t="s">
        <v>26</v>
      </c>
    </row>
    <row r="375" spans="1:20" ht="15" customHeight="1" x14ac:dyDescent="0.3">
      <c r="A375" s="3" t="s">
        <v>1257</v>
      </c>
      <c r="B375" s="3" t="s">
        <v>826</v>
      </c>
      <c r="C375" s="3" t="s">
        <v>0</v>
      </c>
      <c r="D375" s="3" t="s">
        <v>486</v>
      </c>
      <c r="E375" s="3" t="s">
        <v>1258</v>
      </c>
      <c r="F375" s="3" t="s">
        <v>145</v>
      </c>
      <c r="G375" s="3" t="s">
        <v>146</v>
      </c>
      <c r="H375" s="3" t="s">
        <v>18</v>
      </c>
      <c r="I375" s="3">
        <v>110</v>
      </c>
      <c r="J375" s="3" t="s">
        <v>179</v>
      </c>
      <c r="K375" s="3" t="s">
        <v>3</v>
      </c>
      <c r="L375" s="3" t="s">
        <v>82</v>
      </c>
      <c r="M375" s="4">
        <v>74900</v>
      </c>
      <c r="N375" s="5">
        <v>13.8</v>
      </c>
      <c r="O375" s="4">
        <f t="shared" si="10"/>
        <v>10336.200000000001</v>
      </c>
      <c r="P375" s="4">
        <f t="shared" si="11"/>
        <v>64563.8</v>
      </c>
      <c r="Q375" s="3" t="s">
        <v>38</v>
      </c>
      <c r="R375" s="3" t="s">
        <v>67</v>
      </c>
      <c r="S375" s="3" t="s">
        <v>67</v>
      </c>
      <c r="T375" s="3" t="s">
        <v>26</v>
      </c>
    </row>
    <row r="376" spans="1:20" ht="15" customHeight="1" x14ac:dyDescent="0.3">
      <c r="A376" s="3" t="s">
        <v>1259</v>
      </c>
      <c r="B376" s="3" t="s">
        <v>109</v>
      </c>
      <c r="C376" s="3" t="s">
        <v>2</v>
      </c>
      <c r="D376" s="3" t="s">
        <v>1260</v>
      </c>
      <c r="E376" s="3" t="s">
        <v>1261</v>
      </c>
      <c r="F376" s="3" t="s">
        <v>134</v>
      </c>
      <c r="G376" s="3" t="s">
        <v>184</v>
      </c>
      <c r="H376" s="3" t="s">
        <v>18</v>
      </c>
      <c r="I376" s="3">
        <v>125</v>
      </c>
      <c r="J376" s="3" t="s">
        <v>96</v>
      </c>
      <c r="K376" s="3" t="s">
        <v>1</v>
      </c>
      <c r="L376" s="3" t="s">
        <v>90</v>
      </c>
      <c r="M376" s="4">
        <v>79900</v>
      </c>
      <c r="N376" s="5">
        <v>13.4</v>
      </c>
      <c r="O376" s="4">
        <f t="shared" si="10"/>
        <v>10706.6</v>
      </c>
      <c r="P376" s="4">
        <f t="shared" si="11"/>
        <v>69193.399999999994</v>
      </c>
      <c r="Q376" s="3" t="s">
        <v>34</v>
      </c>
      <c r="R376" s="3" t="s">
        <v>68</v>
      </c>
      <c r="S376" s="3" t="s">
        <v>67</v>
      </c>
      <c r="T376" s="3" t="s">
        <v>26</v>
      </c>
    </row>
    <row r="377" spans="1:20" ht="15" customHeight="1" x14ac:dyDescent="0.3">
      <c r="A377" s="3" t="s">
        <v>1262</v>
      </c>
      <c r="B377" s="3" t="s">
        <v>330</v>
      </c>
      <c r="C377" s="3" t="s">
        <v>4</v>
      </c>
      <c r="D377" s="3" t="s">
        <v>915</v>
      </c>
      <c r="E377" s="3" t="s">
        <v>1263</v>
      </c>
      <c r="F377" s="3" t="s">
        <v>134</v>
      </c>
      <c r="G377" s="3" t="s">
        <v>95</v>
      </c>
      <c r="H377" s="3" t="s">
        <v>22</v>
      </c>
      <c r="I377" s="3">
        <v>0</v>
      </c>
      <c r="J377" s="3" t="s">
        <v>89</v>
      </c>
      <c r="K377" s="3" t="s">
        <v>11</v>
      </c>
      <c r="L377" s="3" t="s">
        <v>66</v>
      </c>
      <c r="M377" s="4">
        <v>139999</v>
      </c>
      <c r="N377" s="5">
        <v>15</v>
      </c>
      <c r="O377" s="4">
        <f t="shared" si="10"/>
        <v>20999.85</v>
      </c>
      <c r="P377" s="4">
        <f t="shared" si="11"/>
        <v>118999.15</v>
      </c>
      <c r="Q377" s="3" t="s">
        <v>31</v>
      </c>
      <c r="R377" s="3" t="s">
        <v>67</v>
      </c>
      <c r="S377" s="3" t="s">
        <v>68</v>
      </c>
      <c r="T377" s="3" t="s">
        <v>29</v>
      </c>
    </row>
    <row r="378" spans="1:20" ht="15" customHeight="1" x14ac:dyDescent="0.3">
      <c r="A378" s="3" t="s">
        <v>1264</v>
      </c>
      <c r="B378" s="3" t="s">
        <v>713</v>
      </c>
      <c r="C378" s="3" t="s">
        <v>15</v>
      </c>
      <c r="D378" s="3" t="s">
        <v>1265</v>
      </c>
      <c r="E378" s="3" t="s">
        <v>1266</v>
      </c>
      <c r="F378" s="3" t="s">
        <v>145</v>
      </c>
      <c r="G378" s="3" t="s">
        <v>222</v>
      </c>
      <c r="H378" s="3" t="s">
        <v>19</v>
      </c>
      <c r="I378" s="3">
        <v>155</v>
      </c>
      <c r="J378" s="3" t="s">
        <v>164</v>
      </c>
      <c r="K378" s="3" t="s">
        <v>3</v>
      </c>
      <c r="L378" s="3" t="s">
        <v>66</v>
      </c>
      <c r="M378" s="4">
        <v>167900</v>
      </c>
      <c r="N378" s="5">
        <v>10.1</v>
      </c>
      <c r="O378" s="4">
        <f t="shared" si="10"/>
        <v>16957.900000000001</v>
      </c>
      <c r="P378" s="4">
        <f t="shared" si="11"/>
        <v>150942.1</v>
      </c>
      <c r="Q378" s="3" t="s">
        <v>28</v>
      </c>
      <c r="R378" s="3" t="s">
        <v>68</v>
      </c>
      <c r="S378" s="3" t="s">
        <v>67</v>
      </c>
      <c r="T378" s="3" t="s">
        <v>26</v>
      </c>
    </row>
    <row r="379" spans="1:20" ht="15" customHeight="1" x14ac:dyDescent="0.3">
      <c r="A379" s="3" t="s">
        <v>1267</v>
      </c>
      <c r="B379" s="3" t="s">
        <v>573</v>
      </c>
      <c r="C379" s="3" t="s">
        <v>12</v>
      </c>
      <c r="D379" s="3" t="s">
        <v>788</v>
      </c>
      <c r="E379" s="3" t="s">
        <v>1268</v>
      </c>
      <c r="F379" s="3" t="s">
        <v>174</v>
      </c>
      <c r="G379" s="3" t="s">
        <v>169</v>
      </c>
      <c r="H379" s="3" t="s">
        <v>18</v>
      </c>
      <c r="I379" s="3">
        <v>162</v>
      </c>
      <c r="J379" s="3" t="s">
        <v>81</v>
      </c>
      <c r="K379" s="3" t="s">
        <v>3</v>
      </c>
      <c r="L379" s="3" t="s">
        <v>90</v>
      </c>
      <c r="M379" s="4">
        <v>124900</v>
      </c>
      <c r="N379" s="5">
        <v>10.1</v>
      </c>
      <c r="O379" s="4">
        <f t="shared" si="10"/>
        <v>12614.9</v>
      </c>
      <c r="P379" s="4">
        <f t="shared" si="11"/>
        <v>112285.1</v>
      </c>
      <c r="Q379" s="3" t="s">
        <v>28</v>
      </c>
      <c r="R379" s="3" t="s">
        <v>67</v>
      </c>
      <c r="S379" s="3" t="s">
        <v>67</v>
      </c>
      <c r="T379" s="3" t="s">
        <v>26</v>
      </c>
    </row>
    <row r="380" spans="1:20" ht="15" customHeight="1" x14ac:dyDescent="0.3">
      <c r="A380" s="3" t="s">
        <v>1269</v>
      </c>
      <c r="B380" s="3" t="s">
        <v>722</v>
      </c>
      <c r="C380" s="3" t="s">
        <v>2</v>
      </c>
      <c r="D380" s="3" t="s">
        <v>1270</v>
      </c>
      <c r="E380" s="3" t="s">
        <v>1271</v>
      </c>
      <c r="F380" s="3" t="s">
        <v>117</v>
      </c>
      <c r="G380" s="3" t="s">
        <v>201</v>
      </c>
      <c r="H380" s="3" t="s">
        <v>19</v>
      </c>
      <c r="I380" s="3">
        <v>160</v>
      </c>
      <c r="J380" s="3" t="s">
        <v>102</v>
      </c>
      <c r="K380" s="3" t="s">
        <v>5</v>
      </c>
      <c r="L380" s="3" t="s">
        <v>74</v>
      </c>
      <c r="M380" s="4">
        <v>129900</v>
      </c>
      <c r="N380" s="5">
        <v>10.7</v>
      </c>
      <c r="O380" s="4">
        <f t="shared" si="10"/>
        <v>13899.3</v>
      </c>
      <c r="P380" s="4">
        <f t="shared" si="11"/>
        <v>116000.7</v>
      </c>
      <c r="Q380" s="3" t="s">
        <v>25</v>
      </c>
      <c r="R380" s="3" t="s">
        <v>67</v>
      </c>
      <c r="S380" s="3" t="s">
        <v>67</v>
      </c>
      <c r="T380" s="3" t="s">
        <v>32</v>
      </c>
    </row>
    <row r="381" spans="1:20" ht="15" customHeight="1" x14ac:dyDescent="0.3">
      <c r="A381" s="3" t="s">
        <v>1272</v>
      </c>
      <c r="B381" s="3" t="s">
        <v>272</v>
      </c>
      <c r="C381" s="3" t="s">
        <v>0</v>
      </c>
      <c r="D381" s="3" t="s">
        <v>918</v>
      </c>
      <c r="E381" s="3" t="s">
        <v>1273</v>
      </c>
      <c r="F381" s="3" t="s">
        <v>124</v>
      </c>
      <c r="G381" s="3" t="s">
        <v>201</v>
      </c>
      <c r="H381" s="3" t="s">
        <v>19</v>
      </c>
      <c r="I381" s="3">
        <v>160</v>
      </c>
      <c r="J381" s="3" t="s">
        <v>65</v>
      </c>
      <c r="K381" s="3" t="s">
        <v>5</v>
      </c>
      <c r="L381" s="3" t="s">
        <v>82</v>
      </c>
      <c r="M381" s="4">
        <v>129900</v>
      </c>
      <c r="N381" s="5">
        <v>9.6999999999999993</v>
      </c>
      <c r="O381" s="4">
        <f t="shared" si="10"/>
        <v>12600.3</v>
      </c>
      <c r="P381" s="4">
        <f t="shared" si="11"/>
        <v>117299.7</v>
      </c>
      <c r="Q381" s="3" t="s">
        <v>38</v>
      </c>
      <c r="R381" s="3" t="s">
        <v>68</v>
      </c>
      <c r="S381" s="3" t="s">
        <v>67</v>
      </c>
      <c r="T381" s="3" t="s">
        <v>26</v>
      </c>
    </row>
    <row r="382" spans="1:20" ht="15" customHeight="1" x14ac:dyDescent="0.3">
      <c r="A382" s="3" t="s">
        <v>1274</v>
      </c>
      <c r="B382" s="3" t="s">
        <v>318</v>
      </c>
      <c r="C382" s="3" t="s">
        <v>10</v>
      </c>
      <c r="D382" s="3" t="s">
        <v>857</v>
      </c>
      <c r="E382" s="3" t="s">
        <v>1275</v>
      </c>
      <c r="F382" s="3" t="s">
        <v>145</v>
      </c>
      <c r="G382" s="3" t="s">
        <v>95</v>
      </c>
      <c r="H382" s="3" t="s">
        <v>22</v>
      </c>
      <c r="I382" s="3">
        <v>0</v>
      </c>
      <c r="J382" s="3" t="s">
        <v>179</v>
      </c>
      <c r="K382" s="3" t="s">
        <v>9</v>
      </c>
      <c r="L382" s="3" t="s">
        <v>74</v>
      </c>
      <c r="M382" s="4">
        <v>139999</v>
      </c>
      <c r="N382" s="5">
        <v>10.8</v>
      </c>
      <c r="O382" s="4">
        <f t="shared" si="10"/>
        <v>15119.892000000002</v>
      </c>
      <c r="P382" s="4">
        <f t="shared" si="11"/>
        <v>124879.10799999999</v>
      </c>
      <c r="Q382" s="3" t="s">
        <v>40</v>
      </c>
      <c r="R382" s="3" t="s">
        <v>67</v>
      </c>
      <c r="S382" s="3" t="s">
        <v>68</v>
      </c>
      <c r="T382" s="3" t="s">
        <v>26</v>
      </c>
    </row>
    <row r="383" spans="1:20" ht="15" customHeight="1" x14ac:dyDescent="0.3">
      <c r="A383" s="3" t="s">
        <v>1276</v>
      </c>
      <c r="B383" s="3" t="s">
        <v>826</v>
      </c>
      <c r="C383" s="3" t="s">
        <v>0</v>
      </c>
      <c r="D383" s="3" t="s">
        <v>1277</v>
      </c>
      <c r="E383" s="3" t="s">
        <v>1278</v>
      </c>
      <c r="F383" s="3" t="s">
        <v>117</v>
      </c>
      <c r="G383" s="3" t="s">
        <v>146</v>
      </c>
      <c r="H383" s="3" t="s">
        <v>18</v>
      </c>
      <c r="I383" s="3">
        <v>110</v>
      </c>
      <c r="J383" s="3" t="s">
        <v>129</v>
      </c>
      <c r="K383" s="3" t="s">
        <v>5</v>
      </c>
      <c r="L383" s="3" t="s">
        <v>103</v>
      </c>
      <c r="M383" s="4">
        <v>74900</v>
      </c>
      <c r="N383" s="5">
        <v>10.7</v>
      </c>
      <c r="O383" s="4">
        <f t="shared" si="10"/>
        <v>8014.3</v>
      </c>
      <c r="P383" s="4">
        <f t="shared" si="11"/>
        <v>66885.7</v>
      </c>
      <c r="Q383" s="3" t="s">
        <v>31</v>
      </c>
      <c r="R383" s="3" t="s">
        <v>67</v>
      </c>
      <c r="S383" s="3" t="s">
        <v>68</v>
      </c>
      <c r="T383" s="3" t="s">
        <v>26</v>
      </c>
    </row>
    <row r="384" spans="1:20" ht="15" customHeight="1" x14ac:dyDescent="0.3">
      <c r="A384" s="3" t="s">
        <v>1279</v>
      </c>
      <c r="B384" s="3" t="s">
        <v>300</v>
      </c>
      <c r="C384" s="3" t="s">
        <v>12</v>
      </c>
      <c r="D384" s="3" t="s">
        <v>464</v>
      </c>
      <c r="E384" s="3" t="s">
        <v>1280</v>
      </c>
      <c r="F384" s="3" t="s">
        <v>63</v>
      </c>
      <c r="G384" s="3" t="s">
        <v>64</v>
      </c>
      <c r="H384" s="3" t="s">
        <v>19</v>
      </c>
      <c r="I384" s="3">
        <v>200</v>
      </c>
      <c r="J384" s="3" t="s">
        <v>81</v>
      </c>
      <c r="K384" s="3" t="s">
        <v>1</v>
      </c>
      <c r="L384" s="3" t="s">
        <v>206</v>
      </c>
      <c r="M384" s="4">
        <v>199900</v>
      </c>
      <c r="N384" s="5">
        <v>13.7</v>
      </c>
      <c r="O384" s="4">
        <f t="shared" si="10"/>
        <v>27386.3</v>
      </c>
      <c r="P384" s="4">
        <f t="shared" si="11"/>
        <v>172513.7</v>
      </c>
      <c r="Q384" s="3" t="s">
        <v>38</v>
      </c>
      <c r="R384" s="3" t="s">
        <v>67</v>
      </c>
      <c r="S384" s="3" t="s">
        <v>68</v>
      </c>
      <c r="T384" s="3" t="s">
        <v>26</v>
      </c>
    </row>
    <row r="385" spans="1:20" ht="15" customHeight="1" x14ac:dyDescent="0.3">
      <c r="A385" s="3" t="s">
        <v>1281</v>
      </c>
      <c r="B385" s="3" t="s">
        <v>341</v>
      </c>
      <c r="C385" s="3" t="s">
        <v>12</v>
      </c>
      <c r="D385" s="3" t="s">
        <v>841</v>
      </c>
      <c r="E385" s="3" t="s">
        <v>1282</v>
      </c>
      <c r="F385" s="3" t="s">
        <v>112</v>
      </c>
      <c r="G385" s="3" t="s">
        <v>211</v>
      </c>
      <c r="H385" s="3" t="s">
        <v>20</v>
      </c>
      <c r="I385" s="3">
        <v>350</v>
      </c>
      <c r="J385" s="3" t="s">
        <v>243</v>
      </c>
      <c r="K385" s="3" t="s">
        <v>3</v>
      </c>
      <c r="L385" s="3" t="s">
        <v>66</v>
      </c>
      <c r="M385" s="4">
        <v>199900</v>
      </c>
      <c r="N385" s="5">
        <v>3.7</v>
      </c>
      <c r="O385" s="4">
        <f t="shared" si="10"/>
        <v>7396.3</v>
      </c>
      <c r="P385" s="4">
        <f t="shared" si="11"/>
        <v>192503.7</v>
      </c>
      <c r="Q385" s="3" t="s">
        <v>38</v>
      </c>
      <c r="R385" s="3" t="s">
        <v>67</v>
      </c>
      <c r="S385" s="3" t="s">
        <v>68</v>
      </c>
      <c r="T385" s="3" t="s">
        <v>26</v>
      </c>
    </row>
    <row r="386" spans="1:20" ht="15" customHeight="1" x14ac:dyDescent="0.3">
      <c r="A386" s="3" t="s">
        <v>1283</v>
      </c>
      <c r="B386" s="3" t="s">
        <v>806</v>
      </c>
      <c r="C386" s="3" t="s">
        <v>2</v>
      </c>
      <c r="D386" s="3" t="s">
        <v>283</v>
      </c>
      <c r="E386" s="3" t="s">
        <v>1284</v>
      </c>
      <c r="F386" s="3" t="s">
        <v>124</v>
      </c>
      <c r="G386" s="3" t="s">
        <v>256</v>
      </c>
      <c r="H386" s="3" t="s">
        <v>21</v>
      </c>
      <c r="I386" s="3">
        <v>110</v>
      </c>
      <c r="J386" s="3" t="s">
        <v>129</v>
      </c>
      <c r="K386" s="3" t="s">
        <v>11</v>
      </c>
      <c r="L386" s="3" t="s">
        <v>90</v>
      </c>
      <c r="M386" s="4">
        <v>80900</v>
      </c>
      <c r="N386" s="5">
        <v>13.3</v>
      </c>
      <c r="O386" s="4">
        <f t="shared" ref="O386:O449" si="12">M386*N386/100</f>
        <v>10759.7</v>
      </c>
      <c r="P386" s="4">
        <f t="shared" ref="P386:P449" si="13">M386-O386</f>
        <v>70140.3</v>
      </c>
      <c r="Q386" s="3" t="s">
        <v>38</v>
      </c>
      <c r="R386" s="3" t="s">
        <v>67</v>
      </c>
      <c r="S386" s="3" t="s">
        <v>68</v>
      </c>
      <c r="T386" s="3" t="s">
        <v>26</v>
      </c>
    </row>
    <row r="387" spans="1:20" ht="15" customHeight="1" x14ac:dyDescent="0.3">
      <c r="A387" s="3" t="s">
        <v>1285</v>
      </c>
      <c r="B387" s="3" t="s">
        <v>809</v>
      </c>
      <c r="C387" s="3" t="s">
        <v>17</v>
      </c>
      <c r="D387" s="3" t="s">
        <v>1286</v>
      </c>
      <c r="E387" s="3" t="s">
        <v>1287</v>
      </c>
      <c r="F387" s="3" t="s">
        <v>63</v>
      </c>
      <c r="G387" s="3" t="s">
        <v>184</v>
      </c>
      <c r="H387" s="3" t="s">
        <v>18</v>
      </c>
      <c r="I387" s="3">
        <v>125</v>
      </c>
      <c r="J387" s="3" t="s">
        <v>179</v>
      </c>
      <c r="K387" s="3" t="s">
        <v>1</v>
      </c>
      <c r="L387" s="3" t="s">
        <v>136</v>
      </c>
      <c r="M387" s="4">
        <v>79900</v>
      </c>
      <c r="N387" s="5">
        <v>3.3</v>
      </c>
      <c r="O387" s="4">
        <f t="shared" si="12"/>
        <v>2636.7</v>
      </c>
      <c r="P387" s="4">
        <f t="shared" si="13"/>
        <v>77263.3</v>
      </c>
      <c r="Q387" s="3" t="s">
        <v>28</v>
      </c>
      <c r="R387" s="3" t="s">
        <v>67</v>
      </c>
      <c r="S387" s="3" t="s">
        <v>68</v>
      </c>
      <c r="T387" s="3" t="s">
        <v>29</v>
      </c>
    </row>
    <row r="388" spans="1:20" ht="15" customHeight="1" x14ac:dyDescent="0.3">
      <c r="A388" s="3" t="s">
        <v>1288</v>
      </c>
      <c r="B388" s="3" t="s">
        <v>806</v>
      </c>
      <c r="C388" s="3" t="s">
        <v>2</v>
      </c>
      <c r="D388" s="3" t="s">
        <v>1032</v>
      </c>
      <c r="E388" s="3" t="s">
        <v>1289</v>
      </c>
      <c r="F388" s="3" t="s">
        <v>145</v>
      </c>
      <c r="G388" s="3" t="s">
        <v>64</v>
      </c>
      <c r="H388" s="3" t="s">
        <v>19</v>
      </c>
      <c r="I388" s="3">
        <v>200</v>
      </c>
      <c r="J388" s="3" t="s">
        <v>164</v>
      </c>
      <c r="K388" s="3" t="s">
        <v>7</v>
      </c>
      <c r="L388" s="3" t="s">
        <v>103</v>
      </c>
      <c r="M388" s="4">
        <v>199900</v>
      </c>
      <c r="N388" s="5">
        <v>7.7</v>
      </c>
      <c r="O388" s="4">
        <f t="shared" si="12"/>
        <v>15392.3</v>
      </c>
      <c r="P388" s="4">
        <f t="shared" si="13"/>
        <v>184507.7</v>
      </c>
      <c r="Q388" s="3" t="s">
        <v>34</v>
      </c>
      <c r="R388" s="3" t="s">
        <v>67</v>
      </c>
      <c r="S388" s="3" t="s">
        <v>68</v>
      </c>
      <c r="T388" s="3" t="s">
        <v>26</v>
      </c>
    </row>
    <row r="389" spans="1:20" ht="15" customHeight="1" x14ac:dyDescent="0.3">
      <c r="A389" s="3" t="s">
        <v>1290</v>
      </c>
      <c r="B389" s="3" t="s">
        <v>1070</v>
      </c>
      <c r="C389" s="3" t="s">
        <v>0</v>
      </c>
      <c r="D389" s="3" t="s">
        <v>1291</v>
      </c>
      <c r="E389" s="3" t="s">
        <v>1292</v>
      </c>
      <c r="F389" s="3" t="s">
        <v>117</v>
      </c>
      <c r="G389" s="3" t="s">
        <v>184</v>
      </c>
      <c r="H389" s="3" t="s">
        <v>18</v>
      </c>
      <c r="I389" s="3">
        <v>125</v>
      </c>
      <c r="J389" s="3" t="s">
        <v>96</v>
      </c>
      <c r="K389" s="3" t="s">
        <v>9</v>
      </c>
      <c r="L389" s="3" t="s">
        <v>136</v>
      </c>
      <c r="M389" s="4">
        <v>79900</v>
      </c>
      <c r="N389" s="5">
        <v>12.4</v>
      </c>
      <c r="O389" s="4">
        <f t="shared" si="12"/>
        <v>9907.6</v>
      </c>
      <c r="P389" s="4">
        <f t="shared" si="13"/>
        <v>69992.399999999994</v>
      </c>
      <c r="Q389" s="3" t="s">
        <v>25</v>
      </c>
      <c r="R389" s="3" t="s">
        <v>68</v>
      </c>
      <c r="S389" s="3" t="s">
        <v>68</v>
      </c>
      <c r="T389" s="3" t="s">
        <v>29</v>
      </c>
    </row>
    <row r="390" spans="1:20" ht="15" customHeight="1" x14ac:dyDescent="0.3">
      <c r="A390" s="3" t="s">
        <v>1293</v>
      </c>
      <c r="B390" s="3" t="s">
        <v>384</v>
      </c>
      <c r="C390" s="3" t="s">
        <v>15</v>
      </c>
      <c r="D390" s="3" t="s">
        <v>513</v>
      </c>
      <c r="E390" s="3" t="s">
        <v>1294</v>
      </c>
      <c r="F390" s="3" t="s">
        <v>134</v>
      </c>
      <c r="G390" s="3" t="s">
        <v>146</v>
      </c>
      <c r="H390" s="3" t="s">
        <v>18</v>
      </c>
      <c r="I390" s="3">
        <v>110</v>
      </c>
      <c r="J390" s="3" t="s">
        <v>179</v>
      </c>
      <c r="K390" s="3" t="s">
        <v>7</v>
      </c>
      <c r="L390" s="3" t="s">
        <v>82</v>
      </c>
      <c r="M390" s="4">
        <v>74900</v>
      </c>
      <c r="N390" s="5">
        <v>11.3</v>
      </c>
      <c r="O390" s="4">
        <f t="shared" si="12"/>
        <v>8463.7000000000007</v>
      </c>
      <c r="P390" s="4">
        <f t="shared" si="13"/>
        <v>66436.3</v>
      </c>
      <c r="Q390" s="3" t="s">
        <v>25</v>
      </c>
      <c r="R390" s="3" t="s">
        <v>67</v>
      </c>
      <c r="S390" s="3" t="s">
        <v>67</v>
      </c>
      <c r="T390" s="3" t="s">
        <v>26</v>
      </c>
    </row>
    <row r="391" spans="1:20" ht="15" customHeight="1" x14ac:dyDescent="0.3">
      <c r="A391" s="3" t="s">
        <v>1295</v>
      </c>
      <c r="B391" s="3" t="s">
        <v>191</v>
      </c>
      <c r="C391" s="3" t="s">
        <v>14</v>
      </c>
      <c r="D391" s="3" t="s">
        <v>774</v>
      </c>
      <c r="E391" s="3" t="s">
        <v>1296</v>
      </c>
      <c r="F391" s="3" t="s">
        <v>145</v>
      </c>
      <c r="G391" s="3" t="s">
        <v>118</v>
      </c>
      <c r="H391" s="3" t="s">
        <v>20</v>
      </c>
      <c r="I391" s="3">
        <v>350</v>
      </c>
      <c r="J391" s="3" t="s">
        <v>89</v>
      </c>
      <c r="K391" s="3" t="s">
        <v>5</v>
      </c>
      <c r="L391" s="3" t="s">
        <v>90</v>
      </c>
      <c r="M391" s="4">
        <v>159900</v>
      </c>
      <c r="N391" s="5">
        <v>14.5</v>
      </c>
      <c r="O391" s="4">
        <f t="shared" si="12"/>
        <v>23185.5</v>
      </c>
      <c r="P391" s="4">
        <f t="shared" si="13"/>
        <v>136714.5</v>
      </c>
      <c r="Q391" s="3" t="s">
        <v>28</v>
      </c>
      <c r="R391" s="3" t="s">
        <v>67</v>
      </c>
      <c r="S391" s="3" t="s">
        <v>68</v>
      </c>
      <c r="T391" s="3" t="s">
        <v>29</v>
      </c>
    </row>
    <row r="392" spans="1:20" ht="15" customHeight="1" x14ac:dyDescent="0.3">
      <c r="A392" s="3" t="s">
        <v>1297</v>
      </c>
      <c r="B392" s="3" t="s">
        <v>759</v>
      </c>
      <c r="C392" s="3" t="s">
        <v>8</v>
      </c>
      <c r="D392" s="3" t="s">
        <v>1298</v>
      </c>
      <c r="E392" s="3" t="s">
        <v>1299</v>
      </c>
      <c r="F392" s="3" t="s">
        <v>117</v>
      </c>
      <c r="G392" s="3" t="s">
        <v>88</v>
      </c>
      <c r="H392" s="3" t="s">
        <v>18</v>
      </c>
      <c r="I392" s="3">
        <v>125</v>
      </c>
      <c r="J392" s="3" t="s">
        <v>243</v>
      </c>
      <c r="K392" s="3" t="s">
        <v>9</v>
      </c>
      <c r="L392" s="3" t="s">
        <v>103</v>
      </c>
      <c r="M392" s="4">
        <v>94900</v>
      </c>
      <c r="N392" s="5">
        <v>4.9000000000000004</v>
      </c>
      <c r="O392" s="4">
        <f t="shared" si="12"/>
        <v>4650.1000000000004</v>
      </c>
      <c r="P392" s="4">
        <f t="shared" si="13"/>
        <v>90249.9</v>
      </c>
      <c r="Q392" s="3" t="s">
        <v>34</v>
      </c>
      <c r="R392" s="3" t="s">
        <v>67</v>
      </c>
      <c r="S392" s="3" t="s">
        <v>68</v>
      </c>
      <c r="T392" s="3" t="s">
        <v>26</v>
      </c>
    </row>
    <row r="393" spans="1:20" ht="15" customHeight="1" x14ac:dyDescent="0.3">
      <c r="A393" s="3" t="s">
        <v>1300</v>
      </c>
      <c r="B393" s="3" t="s">
        <v>1070</v>
      </c>
      <c r="C393" s="3" t="s">
        <v>0</v>
      </c>
      <c r="D393" s="3" t="s">
        <v>195</v>
      </c>
      <c r="E393" s="3" t="s">
        <v>1301</v>
      </c>
      <c r="F393" s="3" t="s">
        <v>174</v>
      </c>
      <c r="G393" s="3" t="s">
        <v>146</v>
      </c>
      <c r="H393" s="3" t="s">
        <v>18</v>
      </c>
      <c r="I393" s="3">
        <v>110</v>
      </c>
      <c r="J393" s="3" t="s">
        <v>89</v>
      </c>
      <c r="K393" s="3" t="s">
        <v>11</v>
      </c>
      <c r="L393" s="3" t="s">
        <v>136</v>
      </c>
      <c r="M393" s="4">
        <v>74900</v>
      </c>
      <c r="N393" s="5">
        <v>4</v>
      </c>
      <c r="O393" s="4">
        <f t="shared" si="12"/>
        <v>2996</v>
      </c>
      <c r="P393" s="4">
        <f t="shared" si="13"/>
        <v>71904</v>
      </c>
      <c r="Q393" s="3" t="s">
        <v>31</v>
      </c>
      <c r="R393" s="3" t="s">
        <v>67</v>
      </c>
      <c r="S393" s="3" t="s">
        <v>68</v>
      </c>
      <c r="T393" s="3" t="s">
        <v>29</v>
      </c>
    </row>
    <row r="394" spans="1:20" ht="15" customHeight="1" x14ac:dyDescent="0.3">
      <c r="A394" s="3" t="s">
        <v>1302</v>
      </c>
      <c r="B394" s="3" t="s">
        <v>198</v>
      </c>
      <c r="C394" s="3" t="s">
        <v>2</v>
      </c>
      <c r="D394" s="3" t="s">
        <v>1017</v>
      </c>
      <c r="E394" s="3" t="s">
        <v>1303</v>
      </c>
      <c r="F394" s="3" t="s">
        <v>117</v>
      </c>
      <c r="G394" s="3" t="s">
        <v>135</v>
      </c>
      <c r="H394" s="3" t="s">
        <v>19</v>
      </c>
      <c r="I394" s="3">
        <v>160</v>
      </c>
      <c r="J394" s="3" t="s">
        <v>129</v>
      </c>
      <c r="K394" s="3" t="s">
        <v>7</v>
      </c>
      <c r="L394" s="3" t="s">
        <v>206</v>
      </c>
      <c r="M394" s="4">
        <v>124900</v>
      </c>
      <c r="N394" s="5">
        <v>5.6</v>
      </c>
      <c r="O394" s="4">
        <f t="shared" si="12"/>
        <v>6994.4</v>
      </c>
      <c r="P394" s="4">
        <f t="shared" si="13"/>
        <v>117905.60000000001</v>
      </c>
      <c r="Q394" s="3" t="s">
        <v>28</v>
      </c>
      <c r="R394" s="3" t="s">
        <v>67</v>
      </c>
      <c r="S394" s="3" t="s">
        <v>68</v>
      </c>
      <c r="T394" s="3" t="s">
        <v>26</v>
      </c>
    </row>
    <row r="395" spans="1:20" ht="15" customHeight="1" x14ac:dyDescent="0.3">
      <c r="A395" s="3" t="s">
        <v>1304</v>
      </c>
      <c r="B395" s="3" t="s">
        <v>191</v>
      </c>
      <c r="C395" s="3" t="s">
        <v>14</v>
      </c>
      <c r="D395" s="3" t="s">
        <v>633</v>
      </c>
      <c r="E395" s="3" t="s">
        <v>1305</v>
      </c>
      <c r="F395" s="3" t="s">
        <v>174</v>
      </c>
      <c r="G395" s="3" t="s">
        <v>222</v>
      </c>
      <c r="H395" s="3" t="s">
        <v>19</v>
      </c>
      <c r="I395" s="3">
        <v>155</v>
      </c>
      <c r="J395" s="3" t="s">
        <v>102</v>
      </c>
      <c r="K395" s="3" t="s">
        <v>7</v>
      </c>
      <c r="L395" s="3" t="s">
        <v>90</v>
      </c>
      <c r="M395" s="4">
        <v>167900</v>
      </c>
      <c r="N395" s="5">
        <v>14.5</v>
      </c>
      <c r="O395" s="4">
        <f t="shared" si="12"/>
        <v>24345.5</v>
      </c>
      <c r="P395" s="4">
        <f t="shared" si="13"/>
        <v>143554.5</v>
      </c>
      <c r="Q395" s="3" t="s">
        <v>40</v>
      </c>
      <c r="R395" s="3" t="s">
        <v>68</v>
      </c>
      <c r="S395" s="3" t="s">
        <v>67</v>
      </c>
      <c r="T395" s="3" t="s">
        <v>26</v>
      </c>
    </row>
    <row r="396" spans="1:20" ht="15" customHeight="1" x14ac:dyDescent="0.3">
      <c r="A396" s="3" t="s">
        <v>1306</v>
      </c>
      <c r="B396" s="3" t="s">
        <v>138</v>
      </c>
      <c r="C396" s="3" t="s">
        <v>16</v>
      </c>
      <c r="D396" s="3" t="s">
        <v>1307</v>
      </c>
      <c r="E396" s="3" t="s">
        <v>1308</v>
      </c>
      <c r="F396" s="3" t="s">
        <v>112</v>
      </c>
      <c r="G396" s="3" t="s">
        <v>64</v>
      </c>
      <c r="H396" s="3" t="s">
        <v>19</v>
      </c>
      <c r="I396" s="3">
        <v>200</v>
      </c>
      <c r="J396" s="3" t="s">
        <v>89</v>
      </c>
      <c r="K396" s="3" t="s">
        <v>3</v>
      </c>
      <c r="L396" s="3" t="s">
        <v>206</v>
      </c>
      <c r="M396" s="4">
        <v>199900</v>
      </c>
      <c r="N396" s="5">
        <v>12.8</v>
      </c>
      <c r="O396" s="4">
        <f t="shared" si="12"/>
        <v>25587.200000000001</v>
      </c>
      <c r="P396" s="4">
        <f t="shared" si="13"/>
        <v>174312.8</v>
      </c>
      <c r="Q396" s="3" t="s">
        <v>25</v>
      </c>
      <c r="R396" s="3" t="s">
        <v>68</v>
      </c>
      <c r="S396" s="3" t="s">
        <v>68</v>
      </c>
      <c r="T396" s="3" t="s">
        <v>29</v>
      </c>
    </row>
    <row r="397" spans="1:20" ht="15" customHeight="1" x14ac:dyDescent="0.3">
      <c r="A397" s="3" t="s">
        <v>1309</v>
      </c>
      <c r="B397" s="3" t="s">
        <v>402</v>
      </c>
      <c r="C397" s="3" t="s">
        <v>2</v>
      </c>
      <c r="D397" s="3" t="s">
        <v>1080</v>
      </c>
      <c r="E397" s="3" t="s">
        <v>1310</v>
      </c>
      <c r="F397" s="3" t="s">
        <v>87</v>
      </c>
      <c r="G397" s="3" t="s">
        <v>316</v>
      </c>
      <c r="H397" s="3" t="s">
        <v>19</v>
      </c>
      <c r="I397" s="3">
        <v>150</v>
      </c>
      <c r="J397" s="3" t="s">
        <v>243</v>
      </c>
      <c r="K397" s="3" t="s">
        <v>5</v>
      </c>
      <c r="L397" s="3" t="s">
        <v>82</v>
      </c>
      <c r="M397" s="4">
        <v>109900</v>
      </c>
      <c r="N397" s="5">
        <v>14.5</v>
      </c>
      <c r="O397" s="4">
        <f t="shared" si="12"/>
        <v>15935.5</v>
      </c>
      <c r="P397" s="4">
        <f t="shared" si="13"/>
        <v>93964.5</v>
      </c>
      <c r="Q397" s="3" t="s">
        <v>40</v>
      </c>
      <c r="R397" s="3" t="s">
        <v>68</v>
      </c>
      <c r="S397" s="3" t="s">
        <v>67</v>
      </c>
      <c r="T397" s="3" t="s">
        <v>26</v>
      </c>
    </row>
    <row r="398" spans="1:20" ht="15" customHeight="1" x14ac:dyDescent="0.3">
      <c r="A398" s="3" t="s">
        <v>1311</v>
      </c>
      <c r="B398" s="3" t="s">
        <v>493</v>
      </c>
      <c r="C398" s="3" t="s">
        <v>14</v>
      </c>
      <c r="D398" s="3" t="s">
        <v>1312</v>
      </c>
      <c r="E398" s="3" t="s">
        <v>1313</v>
      </c>
      <c r="F398" s="3" t="s">
        <v>87</v>
      </c>
      <c r="G398" s="3" t="s">
        <v>73</v>
      </c>
      <c r="H398" s="3" t="s">
        <v>21</v>
      </c>
      <c r="I398" s="3">
        <v>110</v>
      </c>
      <c r="J398" s="3" t="s">
        <v>243</v>
      </c>
      <c r="K398" s="3" t="s">
        <v>5</v>
      </c>
      <c r="L398" s="3" t="s">
        <v>136</v>
      </c>
      <c r="M398" s="4">
        <v>79900</v>
      </c>
      <c r="N398" s="5">
        <v>5.7</v>
      </c>
      <c r="O398" s="4">
        <f t="shared" si="12"/>
        <v>4554.3</v>
      </c>
      <c r="P398" s="4">
        <f t="shared" si="13"/>
        <v>75345.7</v>
      </c>
      <c r="Q398" s="3" t="s">
        <v>34</v>
      </c>
      <c r="R398" s="3" t="s">
        <v>67</v>
      </c>
      <c r="S398" s="3" t="s">
        <v>68</v>
      </c>
      <c r="T398" s="3" t="s">
        <v>26</v>
      </c>
    </row>
    <row r="399" spans="1:20" ht="15" customHeight="1" x14ac:dyDescent="0.3">
      <c r="A399" s="3" t="s">
        <v>1314</v>
      </c>
      <c r="B399" s="3" t="s">
        <v>1315</v>
      </c>
      <c r="C399" s="3" t="s">
        <v>14</v>
      </c>
      <c r="D399" s="3" t="s">
        <v>461</v>
      </c>
      <c r="E399" s="3" t="s">
        <v>1316</v>
      </c>
      <c r="F399" s="3" t="s">
        <v>117</v>
      </c>
      <c r="G399" s="3" t="s">
        <v>184</v>
      </c>
      <c r="H399" s="3" t="s">
        <v>18</v>
      </c>
      <c r="I399" s="3">
        <v>125</v>
      </c>
      <c r="J399" s="3" t="s">
        <v>89</v>
      </c>
      <c r="K399" s="3" t="s">
        <v>3</v>
      </c>
      <c r="L399" s="3" t="s">
        <v>90</v>
      </c>
      <c r="M399" s="4">
        <v>79900</v>
      </c>
      <c r="N399" s="5">
        <v>8.8000000000000007</v>
      </c>
      <c r="O399" s="4">
        <f t="shared" si="12"/>
        <v>7031.2</v>
      </c>
      <c r="P399" s="4">
        <f t="shared" si="13"/>
        <v>72868.800000000003</v>
      </c>
      <c r="Q399" s="3" t="s">
        <v>36</v>
      </c>
      <c r="R399" s="3" t="s">
        <v>67</v>
      </c>
      <c r="S399" s="3" t="s">
        <v>68</v>
      </c>
      <c r="T399" s="3" t="s">
        <v>26</v>
      </c>
    </row>
    <row r="400" spans="1:20" ht="15" customHeight="1" x14ac:dyDescent="0.3">
      <c r="A400" s="3" t="s">
        <v>1317</v>
      </c>
      <c r="B400" s="3" t="s">
        <v>60</v>
      </c>
      <c r="C400" s="3" t="s">
        <v>16</v>
      </c>
      <c r="D400" s="3" t="s">
        <v>905</v>
      </c>
      <c r="E400" s="3" t="s">
        <v>1318</v>
      </c>
      <c r="F400" s="3" t="s">
        <v>112</v>
      </c>
      <c r="G400" s="3" t="s">
        <v>169</v>
      </c>
      <c r="H400" s="3" t="s">
        <v>18</v>
      </c>
      <c r="I400" s="3">
        <v>162</v>
      </c>
      <c r="J400" s="3" t="s">
        <v>96</v>
      </c>
      <c r="K400" s="3" t="s">
        <v>7</v>
      </c>
      <c r="L400" s="3" t="s">
        <v>206</v>
      </c>
      <c r="M400" s="4">
        <v>124900</v>
      </c>
      <c r="N400" s="5">
        <v>9.8000000000000007</v>
      </c>
      <c r="O400" s="4">
        <f t="shared" si="12"/>
        <v>12240.2</v>
      </c>
      <c r="P400" s="4">
        <f t="shared" si="13"/>
        <v>112659.8</v>
      </c>
      <c r="Q400" s="3" t="s">
        <v>40</v>
      </c>
      <c r="R400" s="3" t="s">
        <v>68</v>
      </c>
      <c r="S400" s="3" t="s">
        <v>67</v>
      </c>
      <c r="T400" s="3" t="s">
        <v>29</v>
      </c>
    </row>
    <row r="401" spans="1:20" ht="15" customHeight="1" x14ac:dyDescent="0.3">
      <c r="A401" s="3" t="s">
        <v>1319</v>
      </c>
      <c r="B401" s="3" t="s">
        <v>384</v>
      </c>
      <c r="C401" s="3" t="s">
        <v>15</v>
      </c>
      <c r="D401" s="3" t="s">
        <v>452</v>
      </c>
      <c r="E401" s="3" t="s">
        <v>1320</v>
      </c>
      <c r="F401" s="3" t="s">
        <v>117</v>
      </c>
      <c r="G401" s="3" t="s">
        <v>118</v>
      </c>
      <c r="H401" s="3" t="s">
        <v>20</v>
      </c>
      <c r="I401" s="3">
        <v>350</v>
      </c>
      <c r="J401" s="3" t="s">
        <v>164</v>
      </c>
      <c r="K401" s="3" t="s">
        <v>3</v>
      </c>
      <c r="L401" s="3" t="s">
        <v>90</v>
      </c>
      <c r="M401" s="4">
        <v>159900</v>
      </c>
      <c r="N401" s="5">
        <v>10</v>
      </c>
      <c r="O401" s="4">
        <f t="shared" si="12"/>
        <v>15990</v>
      </c>
      <c r="P401" s="4">
        <f t="shared" si="13"/>
        <v>143910</v>
      </c>
      <c r="Q401" s="3" t="s">
        <v>36</v>
      </c>
      <c r="R401" s="3" t="s">
        <v>67</v>
      </c>
      <c r="S401" s="3" t="s">
        <v>68</v>
      </c>
      <c r="T401" s="3" t="s">
        <v>32</v>
      </c>
    </row>
    <row r="402" spans="1:20" ht="15" customHeight="1" x14ac:dyDescent="0.3">
      <c r="A402" s="3" t="s">
        <v>1321</v>
      </c>
      <c r="B402" s="3" t="s">
        <v>330</v>
      </c>
      <c r="C402" s="3" t="s">
        <v>4</v>
      </c>
      <c r="D402" s="3" t="s">
        <v>1322</v>
      </c>
      <c r="E402" s="3" t="s">
        <v>1323</v>
      </c>
      <c r="F402" s="3" t="s">
        <v>63</v>
      </c>
      <c r="G402" s="3" t="s">
        <v>80</v>
      </c>
      <c r="H402" s="3" t="s">
        <v>22</v>
      </c>
      <c r="I402" s="3">
        <v>0</v>
      </c>
      <c r="J402" s="3" t="s">
        <v>96</v>
      </c>
      <c r="K402" s="3" t="s">
        <v>11</v>
      </c>
      <c r="L402" s="3" t="s">
        <v>103</v>
      </c>
      <c r="M402" s="4">
        <v>145000</v>
      </c>
      <c r="N402" s="5">
        <v>9.8000000000000007</v>
      </c>
      <c r="O402" s="4">
        <f t="shared" si="12"/>
        <v>14210</v>
      </c>
      <c r="P402" s="4">
        <f t="shared" si="13"/>
        <v>130790</v>
      </c>
      <c r="Q402" s="3" t="s">
        <v>28</v>
      </c>
      <c r="R402" s="3" t="s">
        <v>67</v>
      </c>
      <c r="S402" s="3" t="s">
        <v>68</v>
      </c>
      <c r="T402" s="3" t="s">
        <v>26</v>
      </c>
    </row>
    <row r="403" spans="1:20" ht="15" customHeight="1" x14ac:dyDescent="0.3">
      <c r="A403" s="3" t="s">
        <v>1324</v>
      </c>
      <c r="B403" s="3" t="s">
        <v>245</v>
      </c>
      <c r="C403" s="3" t="s">
        <v>14</v>
      </c>
      <c r="D403" s="3" t="s">
        <v>476</v>
      </c>
      <c r="E403" s="3" t="s">
        <v>1325</v>
      </c>
      <c r="F403" s="3" t="s">
        <v>174</v>
      </c>
      <c r="G403" s="3" t="s">
        <v>80</v>
      </c>
      <c r="H403" s="3" t="s">
        <v>22</v>
      </c>
      <c r="I403" s="3">
        <v>0</v>
      </c>
      <c r="J403" s="3" t="s">
        <v>119</v>
      </c>
      <c r="K403" s="3" t="s">
        <v>11</v>
      </c>
      <c r="L403" s="3" t="s">
        <v>97</v>
      </c>
      <c r="M403" s="4">
        <v>145000</v>
      </c>
      <c r="N403" s="5">
        <v>8</v>
      </c>
      <c r="O403" s="4">
        <f t="shared" si="12"/>
        <v>11600</v>
      </c>
      <c r="P403" s="4">
        <f t="shared" si="13"/>
        <v>133400</v>
      </c>
      <c r="Q403" s="3" t="s">
        <v>28</v>
      </c>
      <c r="R403" s="3" t="s">
        <v>67</v>
      </c>
      <c r="S403" s="3" t="s">
        <v>67</v>
      </c>
      <c r="T403" s="3" t="s">
        <v>26</v>
      </c>
    </row>
    <row r="404" spans="1:20" ht="15" customHeight="1" x14ac:dyDescent="0.3">
      <c r="A404" s="3" t="s">
        <v>1326</v>
      </c>
      <c r="B404" s="3" t="s">
        <v>191</v>
      </c>
      <c r="C404" s="3" t="s">
        <v>14</v>
      </c>
      <c r="D404" s="3" t="s">
        <v>1327</v>
      </c>
      <c r="E404" s="3" t="s">
        <v>1328</v>
      </c>
      <c r="F404" s="3" t="s">
        <v>174</v>
      </c>
      <c r="G404" s="3" t="s">
        <v>135</v>
      </c>
      <c r="H404" s="3" t="s">
        <v>19</v>
      </c>
      <c r="I404" s="3">
        <v>160</v>
      </c>
      <c r="J404" s="3" t="s">
        <v>119</v>
      </c>
      <c r="K404" s="3" t="s">
        <v>11</v>
      </c>
      <c r="L404" s="3" t="s">
        <v>136</v>
      </c>
      <c r="M404" s="4">
        <v>124900</v>
      </c>
      <c r="N404" s="5">
        <v>6.2</v>
      </c>
      <c r="O404" s="4">
        <f t="shared" si="12"/>
        <v>7743.8</v>
      </c>
      <c r="P404" s="4">
        <f t="shared" si="13"/>
        <v>117156.2</v>
      </c>
      <c r="Q404" s="3" t="s">
        <v>31</v>
      </c>
      <c r="R404" s="3" t="s">
        <v>67</v>
      </c>
      <c r="S404" s="3" t="s">
        <v>68</v>
      </c>
      <c r="T404" s="3" t="s">
        <v>26</v>
      </c>
    </row>
    <row r="405" spans="1:20" ht="15" customHeight="1" x14ac:dyDescent="0.3">
      <c r="A405" s="3" t="s">
        <v>1329</v>
      </c>
      <c r="B405" s="3" t="s">
        <v>131</v>
      </c>
      <c r="C405" s="3" t="s">
        <v>15</v>
      </c>
      <c r="D405" s="3" t="s">
        <v>1035</v>
      </c>
      <c r="E405" s="3" t="s">
        <v>1330</v>
      </c>
      <c r="F405" s="3" t="s">
        <v>134</v>
      </c>
      <c r="G405" s="3" t="s">
        <v>324</v>
      </c>
      <c r="H405" s="3" t="s">
        <v>19</v>
      </c>
      <c r="I405" s="3">
        <v>149</v>
      </c>
      <c r="J405" s="3" t="s">
        <v>129</v>
      </c>
      <c r="K405" s="3" t="s">
        <v>9</v>
      </c>
      <c r="L405" s="3" t="s">
        <v>66</v>
      </c>
      <c r="M405" s="4">
        <v>119900</v>
      </c>
      <c r="N405" s="5">
        <v>14.9</v>
      </c>
      <c r="O405" s="4">
        <f t="shared" si="12"/>
        <v>17865.099999999999</v>
      </c>
      <c r="P405" s="4">
        <f t="shared" si="13"/>
        <v>102034.9</v>
      </c>
      <c r="Q405" s="3" t="s">
        <v>25</v>
      </c>
      <c r="R405" s="3" t="s">
        <v>67</v>
      </c>
      <c r="S405" s="3" t="s">
        <v>68</v>
      </c>
      <c r="T405" s="3" t="s">
        <v>26</v>
      </c>
    </row>
    <row r="406" spans="1:20" ht="15" customHeight="1" x14ac:dyDescent="0.3">
      <c r="A406" s="3" t="s">
        <v>1331</v>
      </c>
      <c r="B406" s="3" t="s">
        <v>148</v>
      </c>
      <c r="C406" s="3" t="s">
        <v>8</v>
      </c>
      <c r="D406" s="3" t="s">
        <v>640</v>
      </c>
      <c r="E406" s="3" t="s">
        <v>1332</v>
      </c>
      <c r="F406" s="3" t="s">
        <v>63</v>
      </c>
      <c r="G406" s="3" t="s">
        <v>201</v>
      </c>
      <c r="H406" s="3" t="s">
        <v>19</v>
      </c>
      <c r="I406" s="3">
        <v>160</v>
      </c>
      <c r="J406" s="3" t="s">
        <v>164</v>
      </c>
      <c r="K406" s="3" t="s">
        <v>11</v>
      </c>
      <c r="L406" s="3" t="s">
        <v>206</v>
      </c>
      <c r="M406" s="4">
        <v>129900</v>
      </c>
      <c r="N406" s="5">
        <v>9.1999999999999993</v>
      </c>
      <c r="O406" s="4">
        <f t="shared" si="12"/>
        <v>11950.8</v>
      </c>
      <c r="P406" s="4">
        <f t="shared" si="13"/>
        <v>117949.2</v>
      </c>
      <c r="Q406" s="3" t="s">
        <v>25</v>
      </c>
      <c r="R406" s="3" t="s">
        <v>67</v>
      </c>
      <c r="S406" s="3" t="s">
        <v>68</v>
      </c>
      <c r="T406" s="3" t="s">
        <v>26</v>
      </c>
    </row>
    <row r="407" spans="1:20" ht="15" customHeight="1" x14ac:dyDescent="0.3">
      <c r="A407" s="3" t="s">
        <v>1333</v>
      </c>
      <c r="B407" s="3" t="s">
        <v>437</v>
      </c>
      <c r="C407" s="3" t="s">
        <v>0</v>
      </c>
      <c r="D407" s="3" t="s">
        <v>1334</v>
      </c>
      <c r="E407" s="3" t="s">
        <v>1335</v>
      </c>
      <c r="F407" s="3" t="s">
        <v>124</v>
      </c>
      <c r="G407" s="3" t="s">
        <v>324</v>
      </c>
      <c r="H407" s="3" t="s">
        <v>19</v>
      </c>
      <c r="I407" s="3">
        <v>149</v>
      </c>
      <c r="J407" s="3" t="s">
        <v>102</v>
      </c>
      <c r="K407" s="3" t="s">
        <v>11</v>
      </c>
      <c r="L407" s="3" t="s">
        <v>103</v>
      </c>
      <c r="M407" s="4">
        <v>119900</v>
      </c>
      <c r="N407" s="5">
        <v>9.6</v>
      </c>
      <c r="O407" s="4">
        <f t="shared" si="12"/>
        <v>11510.4</v>
      </c>
      <c r="P407" s="4">
        <f t="shared" si="13"/>
        <v>108389.6</v>
      </c>
      <c r="Q407" s="3" t="s">
        <v>36</v>
      </c>
      <c r="R407" s="3" t="s">
        <v>67</v>
      </c>
      <c r="S407" s="3" t="s">
        <v>68</v>
      </c>
      <c r="T407" s="3" t="s">
        <v>26</v>
      </c>
    </row>
    <row r="408" spans="1:20" ht="15" customHeight="1" x14ac:dyDescent="0.3">
      <c r="A408" s="3" t="s">
        <v>1336</v>
      </c>
      <c r="B408" s="3" t="s">
        <v>181</v>
      </c>
      <c r="C408" s="3" t="s">
        <v>4</v>
      </c>
      <c r="D408" s="3" t="s">
        <v>1337</v>
      </c>
      <c r="E408" s="3" t="s">
        <v>1338</v>
      </c>
      <c r="F408" s="3" t="s">
        <v>79</v>
      </c>
      <c r="G408" s="3" t="s">
        <v>135</v>
      </c>
      <c r="H408" s="3" t="s">
        <v>19</v>
      </c>
      <c r="I408" s="3">
        <v>160</v>
      </c>
      <c r="J408" s="3" t="s">
        <v>179</v>
      </c>
      <c r="K408" s="3" t="s">
        <v>5</v>
      </c>
      <c r="L408" s="3" t="s">
        <v>97</v>
      </c>
      <c r="M408" s="4">
        <v>124900</v>
      </c>
      <c r="N408" s="5">
        <v>9.6999999999999993</v>
      </c>
      <c r="O408" s="4">
        <f t="shared" si="12"/>
        <v>12115.3</v>
      </c>
      <c r="P408" s="4">
        <f t="shared" si="13"/>
        <v>112784.7</v>
      </c>
      <c r="Q408" s="3" t="s">
        <v>40</v>
      </c>
      <c r="R408" s="3" t="s">
        <v>67</v>
      </c>
      <c r="S408" s="3" t="s">
        <v>68</v>
      </c>
      <c r="T408" s="3" t="s">
        <v>32</v>
      </c>
    </row>
    <row r="409" spans="1:20" ht="15" customHeight="1" x14ac:dyDescent="0.3">
      <c r="A409" s="3" t="s">
        <v>1339</v>
      </c>
      <c r="B409" s="3" t="s">
        <v>437</v>
      </c>
      <c r="C409" s="3" t="s">
        <v>0</v>
      </c>
      <c r="D409" s="3" t="s">
        <v>1340</v>
      </c>
      <c r="E409" s="3" t="s">
        <v>1341</v>
      </c>
      <c r="F409" s="3" t="s">
        <v>155</v>
      </c>
      <c r="G409" s="3" t="s">
        <v>73</v>
      </c>
      <c r="H409" s="3" t="s">
        <v>21</v>
      </c>
      <c r="I409" s="3">
        <v>110</v>
      </c>
      <c r="J409" s="3" t="s">
        <v>102</v>
      </c>
      <c r="K409" s="3" t="s">
        <v>3</v>
      </c>
      <c r="L409" s="3" t="s">
        <v>97</v>
      </c>
      <c r="M409" s="4">
        <v>79900</v>
      </c>
      <c r="N409" s="5">
        <v>13</v>
      </c>
      <c r="O409" s="4">
        <f t="shared" si="12"/>
        <v>10387</v>
      </c>
      <c r="P409" s="4">
        <f t="shared" si="13"/>
        <v>69513</v>
      </c>
      <c r="Q409" s="3" t="s">
        <v>34</v>
      </c>
      <c r="R409" s="3" t="s">
        <v>67</v>
      </c>
      <c r="S409" s="3" t="s">
        <v>68</v>
      </c>
      <c r="T409" s="3" t="s">
        <v>26</v>
      </c>
    </row>
    <row r="410" spans="1:20" ht="15" customHeight="1" x14ac:dyDescent="0.3">
      <c r="A410" s="3" t="s">
        <v>1342</v>
      </c>
      <c r="B410" s="3" t="s">
        <v>326</v>
      </c>
      <c r="C410" s="3" t="s">
        <v>0</v>
      </c>
      <c r="D410" s="3" t="s">
        <v>1343</v>
      </c>
      <c r="E410" s="3" t="s">
        <v>1344</v>
      </c>
      <c r="F410" s="3" t="s">
        <v>155</v>
      </c>
      <c r="G410" s="3" t="s">
        <v>324</v>
      </c>
      <c r="H410" s="3" t="s">
        <v>19</v>
      </c>
      <c r="I410" s="3">
        <v>149</v>
      </c>
      <c r="J410" s="3" t="s">
        <v>119</v>
      </c>
      <c r="K410" s="3" t="s">
        <v>1</v>
      </c>
      <c r="L410" s="3" t="s">
        <v>206</v>
      </c>
      <c r="M410" s="4">
        <v>119900</v>
      </c>
      <c r="N410" s="5">
        <v>4</v>
      </c>
      <c r="O410" s="4">
        <f t="shared" si="12"/>
        <v>4796</v>
      </c>
      <c r="P410" s="4">
        <f t="shared" si="13"/>
        <v>115104</v>
      </c>
      <c r="Q410" s="3" t="s">
        <v>38</v>
      </c>
      <c r="R410" s="3" t="s">
        <v>67</v>
      </c>
      <c r="S410" s="3" t="s">
        <v>68</v>
      </c>
      <c r="T410" s="3" t="s">
        <v>26</v>
      </c>
    </row>
    <row r="411" spans="1:20" ht="15" customHeight="1" x14ac:dyDescent="0.3">
      <c r="A411" s="3" t="s">
        <v>1345</v>
      </c>
      <c r="B411" s="3" t="s">
        <v>198</v>
      </c>
      <c r="C411" s="3" t="s">
        <v>2</v>
      </c>
      <c r="D411" s="3" t="s">
        <v>972</v>
      </c>
      <c r="E411" s="3" t="s">
        <v>1346</v>
      </c>
      <c r="F411" s="3" t="s">
        <v>145</v>
      </c>
      <c r="G411" s="3" t="s">
        <v>211</v>
      </c>
      <c r="H411" s="3" t="s">
        <v>20</v>
      </c>
      <c r="I411" s="3">
        <v>350</v>
      </c>
      <c r="J411" s="3" t="s">
        <v>179</v>
      </c>
      <c r="K411" s="3" t="s">
        <v>5</v>
      </c>
      <c r="L411" s="3" t="s">
        <v>74</v>
      </c>
      <c r="M411" s="4">
        <v>199900</v>
      </c>
      <c r="N411" s="5">
        <v>6.9</v>
      </c>
      <c r="O411" s="4">
        <f t="shared" si="12"/>
        <v>13793.1</v>
      </c>
      <c r="P411" s="4">
        <f t="shared" si="13"/>
        <v>186106.9</v>
      </c>
      <c r="Q411" s="3" t="s">
        <v>34</v>
      </c>
      <c r="R411" s="3" t="s">
        <v>68</v>
      </c>
      <c r="S411" s="3" t="s">
        <v>67</v>
      </c>
      <c r="T411" s="3" t="s">
        <v>32</v>
      </c>
    </row>
    <row r="412" spans="1:20" ht="15" customHeight="1" x14ac:dyDescent="0.3">
      <c r="A412" s="3" t="s">
        <v>1347</v>
      </c>
      <c r="B412" s="3" t="s">
        <v>166</v>
      </c>
      <c r="C412" s="3" t="s">
        <v>4</v>
      </c>
      <c r="D412" s="3" t="s">
        <v>1348</v>
      </c>
      <c r="E412" s="3" t="s">
        <v>1349</v>
      </c>
      <c r="F412" s="3" t="s">
        <v>112</v>
      </c>
      <c r="G412" s="3" t="s">
        <v>184</v>
      </c>
      <c r="H412" s="3" t="s">
        <v>18</v>
      </c>
      <c r="I412" s="3">
        <v>125</v>
      </c>
      <c r="J412" s="3" t="s">
        <v>243</v>
      </c>
      <c r="K412" s="3" t="s">
        <v>9</v>
      </c>
      <c r="L412" s="3" t="s">
        <v>136</v>
      </c>
      <c r="M412" s="4">
        <v>79900</v>
      </c>
      <c r="N412" s="5">
        <v>7</v>
      </c>
      <c r="O412" s="4">
        <f t="shared" si="12"/>
        <v>5593</v>
      </c>
      <c r="P412" s="4">
        <f t="shared" si="13"/>
        <v>74307</v>
      </c>
      <c r="Q412" s="3" t="s">
        <v>38</v>
      </c>
      <c r="R412" s="3" t="s">
        <v>68</v>
      </c>
      <c r="S412" s="3" t="s">
        <v>67</v>
      </c>
      <c r="T412" s="3" t="s">
        <v>26</v>
      </c>
    </row>
    <row r="413" spans="1:20" ht="15" customHeight="1" x14ac:dyDescent="0.3">
      <c r="A413" s="3" t="s">
        <v>1350</v>
      </c>
      <c r="B413" s="3" t="s">
        <v>410</v>
      </c>
      <c r="C413" s="3" t="s">
        <v>17</v>
      </c>
      <c r="D413" s="3" t="s">
        <v>601</v>
      </c>
      <c r="E413" s="3" t="s">
        <v>1351</v>
      </c>
      <c r="F413" s="3" t="s">
        <v>145</v>
      </c>
      <c r="G413" s="3" t="s">
        <v>201</v>
      </c>
      <c r="H413" s="3" t="s">
        <v>19</v>
      </c>
      <c r="I413" s="3">
        <v>160</v>
      </c>
      <c r="J413" s="3" t="s">
        <v>243</v>
      </c>
      <c r="K413" s="3" t="s">
        <v>11</v>
      </c>
      <c r="L413" s="3" t="s">
        <v>90</v>
      </c>
      <c r="M413" s="4">
        <v>129900</v>
      </c>
      <c r="N413" s="5">
        <v>4.0999999999999996</v>
      </c>
      <c r="O413" s="4">
        <f t="shared" si="12"/>
        <v>5325.9</v>
      </c>
      <c r="P413" s="4">
        <f t="shared" si="13"/>
        <v>124574.1</v>
      </c>
      <c r="Q413" s="3" t="s">
        <v>28</v>
      </c>
      <c r="R413" s="3" t="s">
        <v>67</v>
      </c>
      <c r="S413" s="3" t="s">
        <v>68</v>
      </c>
      <c r="T413" s="3" t="s">
        <v>26</v>
      </c>
    </row>
    <row r="414" spans="1:20" ht="15" customHeight="1" x14ac:dyDescent="0.3">
      <c r="A414" s="3" t="s">
        <v>1352</v>
      </c>
      <c r="B414" s="3" t="s">
        <v>176</v>
      </c>
      <c r="C414" s="3" t="s">
        <v>16</v>
      </c>
      <c r="D414" s="3" t="s">
        <v>262</v>
      </c>
      <c r="E414" s="3" t="s">
        <v>1353</v>
      </c>
      <c r="F414" s="3" t="s">
        <v>134</v>
      </c>
      <c r="G414" s="3" t="s">
        <v>80</v>
      </c>
      <c r="H414" s="3" t="s">
        <v>22</v>
      </c>
      <c r="I414" s="3">
        <v>0</v>
      </c>
      <c r="J414" s="3" t="s">
        <v>102</v>
      </c>
      <c r="K414" s="3" t="s">
        <v>5</v>
      </c>
      <c r="L414" s="3" t="s">
        <v>66</v>
      </c>
      <c r="M414" s="4">
        <v>145000</v>
      </c>
      <c r="N414" s="5">
        <v>6.2</v>
      </c>
      <c r="O414" s="4">
        <f t="shared" si="12"/>
        <v>8990</v>
      </c>
      <c r="P414" s="4">
        <f t="shared" si="13"/>
        <v>136010</v>
      </c>
      <c r="Q414" s="3" t="s">
        <v>34</v>
      </c>
      <c r="R414" s="3" t="s">
        <v>67</v>
      </c>
      <c r="S414" s="3" t="s">
        <v>68</v>
      </c>
      <c r="T414" s="3" t="s">
        <v>26</v>
      </c>
    </row>
    <row r="415" spans="1:20" ht="15" customHeight="1" x14ac:dyDescent="0.3">
      <c r="A415" s="3" t="s">
        <v>1354</v>
      </c>
      <c r="B415" s="3" t="s">
        <v>444</v>
      </c>
      <c r="C415" s="3" t="s">
        <v>12</v>
      </c>
      <c r="D415" s="3" t="s">
        <v>1355</v>
      </c>
      <c r="E415" s="3" t="s">
        <v>1356</v>
      </c>
      <c r="F415" s="3" t="s">
        <v>155</v>
      </c>
      <c r="G415" s="3" t="s">
        <v>88</v>
      </c>
      <c r="H415" s="3" t="s">
        <v>18</v>
      </c>
      <c r="I415" s="3">
        <v>125</v>
      </c>
      <c r="J415" s="3" t="s">
        <v>119</v>
      </c>
      <c r="K415" s="3" t="s">
        <v>5</v>
      </c>
      <c r="L415" s="3" t="s">
        <v>97</v>
      </c>
      <c r="M415" s="4">
        <v>94900</v>
      </c>
      <c r="N415" s="5">
        <v>7.6</v>
      </c>
      <c r="O415" s="4">
        <f t="shared" si="12"/>
        <v>7212.4</v>
      </c>
      <c r="P415" s="4">
        <f t="shared" si="13"/>
        <v>87687.6</v>
      </c>
      <c r="Q415" s="3" t="s">
        <v>25</v>
      </c>
      <c r="R415" s="3" t="s">
        <v>67</v>
      </c>
      <c r="S415" s="3" t="s">
        <v>68</v>
      </c>
      <c r="T415" s="3" t="s">
        <v>26</v>
      </c>
    </row>
    <row r="416" spans="1:20" ht="15" customHeight="1" x14ac:dyDescent="0.3">
      <c r="A416" s="3" t="s">
        <v>1357</v>
      </c>
      <c r="B416" s="3" t="s">
        <v>293</v>
      </c>
      <c r="C416" s="3" t="s">
        <v>16</v>
      </c>
      <c r="D416" s="3" t="s">
        <v>1358</v>
      </c>
      <c r="E416" s="3" t="s">
        <v>1359</v>
      </c>
      <c r="F416" s="3" t="s">
        <v>79</v>
      </c>
      <c r="G416" s="3" t="s">
        <v>169</v>
      </c>
      <c r="H416" s="3" t="s">
        <v>18</v>
      </c>
      <c r="I416" s="3">
        <v>162</v>
      </c>
      <c r="J416" s="3" t="s">
        <v>179</v>
      </c>
      <c r="K416" s="3" t="s">
        <v>3</v>
      </c>
      <c r="L416" s="3" t="s">
        <v>97</v>
      </c>
      <c r="M416" s="4">
        <v>124900</v>
      </c>
      <c r="N416" s="5">
        <v>8.8000000000000007</v>
      </c>
      <c r="O416" s="4">
        <f t="shared" si="12"/>
        <v>10991.2</v>
      </c>
      <c r="P416" s="4">
        <f t="shared" si="13"/>
        <v>113908.8</v>
      </c>
      <c r="Q416" s="3" t="s">
        <v>25</v>
      </c>
      <c r="R416" s="3" t="s">
        <v>67</v>
      </c>
      <c r="S416" s="3" t="s">
        <v>67</v>
      </c>
      <c r="T416" s="3" t="s">
        <v>26</v>
      </c>
    </row>
    <row r="417" spans="1:20" ht="15" customHeight="1" x14ac:dyDescent="0.3">
      <c r="A417" s="3" t="s">
        <v>1360</v>
      </c>
      <c r="B417" s="3" t="s">
        <v>809</v>
      </c>
      <c r="C417" s="3" t="s">
        <v>17</v>
      </c>
      <c r="D417" s="3" t="s">
        <v>1361</v>
      </c>
      <c r="E417" s="3" t="s">
        <v>1362</v>
      </c>
      <c r="F417" s="3" t="s">
        <v>63</v>
      </c>
      <c r="G417" s="3" t="s">
        <v>95</v>
      </c>
      <c r="H417" s="3" t="s">
        <v>22</v>
      </c>
      <c r="I417" s="3">
        <v>0</v>
      </c>
      <c r="J417" s="3" t="s">
        <v>119</v>
      </c>
      <c r="K417" s="3" t="s">
        <v>1</v>
      </c>
      <c r="L417" s="3" t="s">
        <v>66</v>
      </c>
      <c r="M417" s="4">
        <v>139999</v>
      </c>
      <c r="N417" s="5">
        <v>10</v>
      </c>
      <c r="O417" s="4">
        <f t="shared" si="12"/>
        <v>13999.9</v>
      </c>
      <c r="P417" s="4">
        <f t="shared" si="13"/>
        <v>125999.1</v>
      </c>
      <c r="Q417" s="3" t="s">
        <v>38</v>
      </c>
      <c r="R417" s="3" t="s">
        <v>67</v>
      </c>
      <c r="S417" s="3" t="s">
        <v>68</v>
      </c>
      <c r="T417" s="3" t="s">
        <v>26</v>
      </c>
    </row>
    <row r="418" spans="1:20" ht="15" customHeight="1" x14ac:dyDescent="0.3">
      <c r="A418" s="3" t="s">
        <v>1363</v>
      </c>
      <c r="B418" s="3" t="s">
        <v>318</v>
      </c>
      <c r="C418" s="3" t="s">
        <v>10</v>
      </c>
      <c r="D418" s="3" t="s">
        <v>1364</v>
      </c>
      <c r="E418" s="3" t="s">
        <v>1365</v>
      </c>
      <c r="F418" s="3" t="s">
        <v>112</v>
      </c>
      <c r="G418" s="3" t="s">
        <v>189</v>
      </c>
      <c r="H418" s="3" t="s">
        <v>18</v>
      </c>
      <c r="I418" s="3">
        <v>100</v>
      </c>
      <c r="J418" s="3" t="s">
        <v>179</v>
      </c>
      <c r="K418" s="3" t="s">
        <v>1</v>
      </c>
      <c r="L418" s="3" t="s">
        <v>74</v>
      </c>
      <c r="M418" s="4">
        <v>72900</v>
      </c>
      <c r="N418" s="5">
        <v>13.4</v>
      </c>
      <c r="O418" s="4">
        <f t="shared" si="12"/>
        <v>9768.6</v>
      </c>
      <c r="P418" s="4">
        <f t="shared" si="13"/>
        <v>63131.4</v>
      </c>
      <c r="Q418" s="3" t="s">
        <v>38</v>
      </c>
      <c r="R418" s="3" t="s">
        <v>67</v>
      </c>
      <c r="S418" s="3" t="s">
        <v>67</v>
      </c>
      <c r="T418" s="3" t="s">
        <v>26</v>
      </c>
    </row>
    <row r="419" spans="1:20" ht="15" customHeight="1" x14ac:dyDescent="0.3">
      <c r="A419" s="3" t="s">
        <v>1366</v>
      </c>
      <c r="B419" s="3" t="s">
        <v>402</v>
      </c>
      <c r="C419" s="3" t="s">
        <v>2</v>
      </c>
      <c r="D419" s="3" t="s">
        <v>1270</v>
      </c>
      <c r="E419" s="3" t="s">
        <v>1367</v>
      </c>
      <c r="F419" s="3" t="s">
        <v>155</v>
      </c>
      <c r="G419" s="3" t="s">
        <v>211</v>
      </c>
      <c r="H419" s="3" t="s">
        <v>20</v>
      </c>
      <c r="I419" s="3">
        <v>350</v>
      </c>
      <c r="J419" s="3" t="s">
        <v>129</v>
      </c>
      <c r="K419" s="3" t="s">
        <v>5</v>
      </c>
      <c r="L419" s="3" t="s">
        <v>97</v>
      </c>
      <c r="M419" s="4">
        <v>199900</v>
      </c>
      <c r="N419" s="5">
        <v>13.5</v>
      </c>
      <c r="O419" s="4">
        <f t="shared" si="12"/>
        <v>26986.5</v>
      </c>
      <c r="P419" s="4">
        <f t="shared" si="13"/>
        <v>172913.5</v>
      </c>
      <c r="Q419" s="3" t="s">
        <v>40</v>
      </c>
      <c r="R419" s="3" t="s">
        <v>67</v>
      </c>
      <c r="S419" s="3" t="s">
        <v>67</v>
      </c>
      <c r="T419" s="3" t="s">
        <v>32</v>
      </c>
    </row>
    <row r="420" spans="1:20" ht="15" customHeight="1" x14ac:dyDescent="0.3">
      <c r="A420" s="3" t="s">
        <v>1368</v>
      </c>
      <c r="B420" s="3" t="s">
        <v>607</v>
      </c>
      <c r="C420" s="3" t="s">
        <v>15</v>
      </c>
      <c r="D420" s="3" t="s">
        <v>1369</v>
      </c>
      <c r="E420" s="3" t="s">
        <v>1370</v>
      </c>
      <c r="F420" s="3" t="s">
        <v>134</v>
      </c>
      <c r="G420" s="3" t="s">
        <v>256</v>
      </c>
      <c r="H420" s="3" t="s">
        <v>21</v>
      </c>
      <c r="I420" s="3">
        <v>110</v>
      </c>
      <c r="J420" s="3" t="s">
        <v>96</v>
      </c>
      <c r="K420" s="3" t="s">
        <v>11</v>
      </c>
      <c r="L420" s="3" t="s">
        <v>103</v>
      </c>
      <c r="M420" s="4">
        <v>80900</v>
      </c>
      <c r="N420" s="5">
        <v>4.5</v>
      </c>
      <c r="O420" s="4">
        <f t="shared" si="12"/>
        <v>3640.5</v>
      </c>
      <c r="P420" s="4">
        <f t="shared" si="13"/>
        <v>77259.5</v>
      </c>
      <c r="Q420" s="3" t="s">
        <v>36</v>
      </c>
      <c r="R420" s="3" t="s">
        <v>67</v>
      </c>
      <c r="S420" s="3" t="s">
        <v>67</v>
      </c>
      <c r="T420" s="3" t="s">
        <v>32</v>
      </c>
    </row>
    <row r="421" spans="1:20" ht="15" customHeight="1" x14ac:dyDescent="0.3">
      <c r="A421" s="3" t="s">
        <v>1371</v>
      </c>
      <c r="B421" s="3" t="s">
        <v>186</v>
      </c>
      <c r="C421" s="3" t="s">
        <v>6</v>
      </c>
      <c r="D421" s="3" t="s">
        <v>1372</v>
      </c>
      <c r="E421" s="3" t="s">
        <v>1373</v>
      </c>
      <c r="F421" s="3" t="s">
        <v>124</v>
      </c>
      <c r="G421" s="3" t="s">
        <v>201</v>
      </c>
      <c r="H421" s="3" t="s">
        <v>19</v>
      </c>
      <c r="I421" s="3">
        <v>160</v>
      </c>
      <c r="J421" s="3" t="s">
        <v>65</v>
      </c>
      <c r="K421" s="3" t="s">
        <v>3</v>
      </c>
      <c r="L421" s="3" t="s">
        <v>136</v>
      </c>
      <c r="M421" s="4">
        <v>129900</v>
      </c>
      <c r="N421" s="5">
        <v>9.4</v>
      </c>
      <c r="O421" s="4">
        <f t="shared" si="12"/>
        <v>12210.6</v>
      </c>
      <c r="P421" s="4">
        <f t="shared" si="13"/>
        <v>117689.4</v>
      </c>
      <c r="Q421" s="3" t="s">
        <v>38</v>
      </c>
      <c r="R421" s="3" t="s">
        <v>67</v>
      </c>
      <c r="S421" s="3" t="s">
        <v>68</v>
      </c>
      <c r="T421" s="3" t="s">
        <v>26</v>
      </c>
    </row>
    <row r="422" spans="1:20" ht="15" customHeight="1" x14ac:dyDescent="0.3">
      <c r="A422" s="3" t="s">
        <v>1374</v>
      </c>
      <c r="B422" s="3" t="s">
        <v>614</v>
      </c>
      <c r="C422" s="3" t="s">
        <v>13</v>
      </c>
      <c r="D422" s="3" t="s">
        <v>153</v>
      </c>
      <c r="E422" s="3" t="s">
        <v>1375</v>
      </c>
      <c r="F422" s="3" t="s">
        <v>134</v>
      </c>
      <c r="G422" s="3" t="s">
        <v>118</v>
      </c>
      <c r="H422" s="3" t="s">
        <v>20</v>
      </c>
      <c r="I422" s="3">
        <v>350</v>
      </c>
      <c r="J422" s="3" t="s">
        <v>81</v>
      </c>
      <c r="K422" s="3" t="s">
        <v>5</v>
      </c>
      <c r="L422" s="3" t="s">
        <v>206</v>
      </c>
      <c r="M422" s="4">
        <v>159900</v>
      </c>
      <c r="N422" s="5">
        <v>7.8</v>
      </c>
      <c r="O422" s="4">
        <f t="shared" si="12"/>
        <v>12472.2</v>
      </c>
      <c r="P422" s="4">
        <f t="shared" si="13"/>
        <v>147427.79999999999</v>
      </c>
      <c r="Q422" s="3" t="s">
        <v>31</v>
      </c>
      <c r="R422" s="3" t="s">
        <v>68</v>
      </c>
      <c r="S422" s="3" t="s">
        <v>68</v>
      </c>
      <c r="T422" s="3" t="s">
        <v>29</v>
      </c>
    </row>
    <row r="423" spans="1:20" ht="15" customHeight="1" x14ac:dyDescent="0.3">
      <c r="A423" s="3" t="s">
        <v>1376</v>
      </c>
      <c r="B423" s="3" t="s">
        <v>410</v>
      </c>
      <c r="C423" s="3" t="s">
        <v>17</v>
      </c>
      <c r="D423" s="3" t="s">
        <v>673</v>
      </c>
      <c r="E423" s="3" t="s">
        <v>1377</v>
      </c>
      <c r="F423" s="3" t="s">
        <v>87</v>
      </c>
      <c r="G423" s="3" t="s">
        <v>64</v>
      </c>
      <c r="H423" s="3" t="s">
        <v>19</v>
      </c>
      <c r="I423" s="3">
        <v>200</v>
      </c>
      <c r="J423" s="3" t="s">
        <v>164</v>
      </c>
      <c r="K423" s="3" t="s">
        <v>5</v>
      </c>
      <c r="L423" s="3" t="s">
        <v>66</v>
      </c>
      <c r="M423" s="4">
        <v>199900</v>
      </c>
      <c r="N423" s="5">
        <v>12.9</v>
      </c>
      <c r="O423" s="4">
        <f t="shared" si="12"/>
        <v>25787.1</v>
      </c>
      <c r="P423" s="4">
        <f t="shared" si="13"/>
        <v>174112.9</v>
      </c>
      <c r="Q423" s="3" t="s">
        <v>38</v>
      </c>
      <c r="R423" s="3" t="s">
        <v>67</v>
      </c>
      <c r="S423" s="3" t="s">
        <v>67</v>
      </c>
      <c r="T423" s="3" t="s">
        <v>26</v>
      </c>
    </row>
    <row r="424" spans="1:20" ht="15" customHeight="1" x14ac:dyDescent="0.3">
      <c r="A424" s="3" t="s">
        <v>1378</v>
      </c>
      <c r="B424" s="3" t="s">
        <v>794</v>
      </c>
      <c r="C424" s="3" t="s">
        <v>8</v>
      </c>
      <c r="D424" s="3" t="s">
        <v>1379</v>
      </c>
      <c r="E424" s="3" t="s">
        <v>1380</v>
      </c>
      <c r="F424" s="3" t="s">
        <v>117</v>
      </c>
      <c r="G424" s="3" t="s">
        <v>64</v>
      </c>
      <c r="H424" s="3" t="s">
        <v>19</v>
      </c>
      <c r="I424" s="3">
        <v>200</v>
      </c>
      <c r="J424" s="3" t="s">
        <v>89</v>
      </c>
      <c r="K424" s="3" t="s">
        <v>1</v>
      </c>
      <c r="L424" s="3" t="s">
        <v>74</v>
      </c>
      <c r="M424" s="4">
        <v>199900</v>
      </c>
      <c r="N424" s="5">
        <v>14.5</v>
      </c>
      <c r="O424" s="4">
        <f t="shared" si="12"/>
        <v>28985.5</v>
      </c>
      <c r="P424" s="4">
        <f t="shared" si="13"/>
        <v>170914.5</v>
      </c>
      <c r="Q424" s="3" t="s">
        <v>31</v>
      </c>
      <c r="R424" s="3" t="s">
        <v>67</v>
      </c>
      <c r="S424" s="3" t="s">
        <v>68</v>
      </c>
      <c r="T424" s="3" t="s">
        <v>26</v>
      </c>
    </row>
    <row r="425" spans="1:20" ht="15" customHeight="1" x14ac:dyDescent="0.3">
      <c r="A425" s="3" t="s">
        <v>1381</v>
      </c>
      <c r="B425" s="3" t="s">
        <v>105</v>
      </c>
      <c r="C425" s="3" t="s">
        <v>13</v>
      </c>
      <c r="D425" s="3" t="s">
        <v>1382</v>
      </c>
      <c r="E425" s="3" t="s">
        <v>1383</v>
      </c>
      <c r="F425" s="3" t="s">
        <v>145</v>
      </c>
      <c r="G425" s="3" t="s">
        <v>156</v>
      </c>
      <c r="H425" s="3" t="s">
        <v>21</v>
      </c>
      <c r="I425" s="3">
        <v>125</v>
      </c>
      <c r="J425" s="3" t="s">
        <v>96</v>
      </c>
      <c r="K425" s="3" t="s">
        <v>1</v>
      </c>
      <c r="L425" s="3" t="s">
        <v>82</v>
      </c>
      <c r="M425" s="4">
        <v>88900</v>
      </c>
      <c r="N425" s="5">
        <v>13.7</v>
      </c>
      <c r="O425" s="4">
        <f t="shared" si="12"/>
        <v>12179.3</v>
      </c>
      <c r="P425" s="4">
        <f t="shared" si="13"/>
        <v>76720.7</v>
      </c>
      <c r="Q425" s="3" t="s">
        <v>34</v>
      </c>
      <c r="R425" s="3" t="s">
        <v>67</v>
      </c>
      <c r="S425" s="3" t="s">
        <v>68</v>
      </c>
      <c r="T425" s="3" t="s">
        <v>26</v>
      </c>
    </row>
    <row r="426" spans="1:20" ht="15" customHeight="1" x14ac:dyDescent="0.3">
      <c r="A426" s="3" t="s">
        <v>1384</v>
      </c>
      <c r="B426" s="3" t="s">
        <v>330</v>
      </c>
      <c r="C426" s="3" t="s">
        <v>4</v>
      </c>
      <c r="D426" s="3" t="s">
        <v>1385</v>
      </c>
      <c r="E426" s="3" t="s">
        <v>1386</v>
      </c>
      <c r="F426" s="3" t="s">
        <v>117</v>
      </c>
      <c r="G426" s="3" t="s">
        <v>156</v>
      </c>
      <c r="H426" s="3" t="s">
        <v>21</v>
      </c>
      <c r="I426" s="3">
        <v>125</v>
      </c>
      <c r="J426" s="3" t="s">
        <v>129</v>
      </c>
      <c r="K426" s="3" t="s">
        <v>11</v>
      </c>
      <c r="L426" s="3" t="s">
        <v>66</v>
      </c>
      <c r="M426" s="4">
        <v>88900</v>
      </c>
      <c r="N426" s="5">
        <v>7</v>
      </c>
      <c r="O426" s="4">
        <f t="shared" si="12"/>
        <v>6223</v>
      </c>
      <c r="P426" s="4">
        <f t="shared" si="13"/>
        <v>82677</v>
      </c>
      <c r="Q426" s="3" t="s">
        <v>34</v>
      </c>
      <c r="R426" s="3" t="s">
        <v>67</v>
      </c>
      <c r="S426" s="3" t="s">
        <v>68</v>
      </c>
      <c r="T426" s="3" t="s">
        <v>29</v>
      </c>
    </row>
    <row r="427" spans="1:20" ht="15" customHeight="1" x14ac:dyDescent="0.3">
      <c r="A427" s="3" t="s">
        <v>1387</v>
      </c>
      <c r="B427" s="3" t="s">
        <v>482</v>
      </c>
      <c r="C427" s="3" t="s">
        <v>6</v>
      </c>
      <c r="D427" s="3" t="s">
        <v>1388</v>
      </c>
      <c r="E427" s="3" t="s">
        <v>1389</v>
      </c>
      <c r="F427" s="3" t="s">
        <v>174</v>
      </c>
      <c r="G427" s="3" t="s">
        <v>222</v>
      </c>
      <c r="H427" s="3" t="s">
        <v>19</v>
      </c>
      <c r="I427" s="3">
        <v>155</v>
      </c>
      <c r="J427" s="3" t="s">
        <v>81</v>
      </c>
      <c r="K427" s="3" t="s">
        <v>7</v>
      </c>
      <c r="L427" s="3" t="s">
        <v>206</v>
      </c>
      <c r="M427" s="4">
        <v>167900</v>
      </c>
      <c r="N427" s="5">
        <v>14.8</v>
      </c>
      <c r="O427" s="4">
        <f t="shared" si="12"/>
        <v>24849.200000000001</v>
      </c>
      <c r="P427" s="4">
        <f t="shared" si="13"/>
        <v>143050.79999999999</v>
      </c>
      <c r="Q427" s="3" t="s">
        <v>34</v>
      </c>
      <c r="R427" s="3" t="s">
        <v>67</v>
      </c>
      <c r="S427" s="3" t="s">
        <v>68</v>
      </c>
      <c r="T427" s="3" t="s">
        <v>26</v>
      </c>
    </row>
    <row r="428" spans="1:20" ht="15" customHeight="1" x14ac:dyDescent="0.3">
      <c r="A428" s="3" t="s">
        <v>1390</v>
      </c>
      <c r="B428" s="3" t="s">
        <v>826</v>
      </c>
      <c r="C428" s="3" t="s">
        <v>0</v>
      </c>
      <c r="D428" s="3" t="s">
        <v>547</v>
      </c>
      <c r="E428" s="3" t="s">
        <v>1391</v>
      </c>
      <c r="F428" s="3" t="s">
        <v>155</v>
      </c>
      <c r="G428" s="3" t="s">
        <v>256</v>
      </c>
      <c r="H428" s="3" t="s">
        <v>21</v>
      </c>
      <c r="I428" s="3">
        <v>110</v>
      </c>
      <c r="J428" s="3" t="s">
        <v>119</v>
      </c>
      <c r="K428" s="3" t="s">
        <v>1</v>
      </c>
      <c r="L428" s="3" t="s">
        <v>66</v>
      </c>
      <c r="M428" s="4">
        <v>80900</v>
      </c>
      <c r="N428" s="5">
        <v>6.5</v>
      </c>
      <c r="O428" s="4">
        <f t="shared" si="12"/>
        <v>5258.5</v>
      </c>
      <c r="P428" s="4">
        <f t="shared" si="13"/>
        <v>75641.5</v>
      </c>
      <c r="Q428" s="3" t="s">
        <v>28</v>
      </c>
      <c r="R428" s="3" t="s">
        <v>67</v>
      </c>
      <c r="S428" s="3" t="s">
        <v>67</v>
      </c>
      <c r="T428" s="3" t="s">
        <v>26</v>
      </c>
    </row>
    <row r="429" spans="1:20" ht="15" customHeight="1" x14ac:dyDescent="0.3">
      <c r="A429" s="3" t="s">
        <v>1392</v>
      </c>
      <c r="B429" s="3" t="s">
        <v>614</v>
      </c>
      <c r="C429" s="3" t="s">
        <v>13</v>
      </c>
      <c r="D429" s="3" t="s">
        <v>965</v>
      </c>
      <c r="E429" s="3" t="s">
        <v>1393</v>
      </c>
      <c r="F429" s="3" t="s">
        <v>134</v>
      </c>
      <c r="G429" s="3" t="s">
        <v>316</v>
      </c>
      <c r="H429" s="3" t="s">
        <v>19</v>
      </c>
      <c r="I429" s="3">
        <v>150</v>
      </c>
      <c r="J429" s="3" t="s">
        <v>81</v>
      </c>
      <c r="K429" s="3" t="s">
        <v>7</v>
      </c>
      <c r="L429" s="3" t="s">
        <v>97</v>
      </c>
      <c r="M429" s="4">
        <v>109900</v>
      </c>
      <c r="N429" s="5">
        <v>5.8</v>
      </c>
      <c r="O429" s="4">
        <f t="shared" si="12"/>
        <v>6374.2</v>
      </c>
      <c r="P429" s="4">
        <f t="shared" si="13"/>
        <v>103525.8</v>
      </c>
      <c r="Q429" s="3" t="s">
        <v>31</v>
      </c>
      <c r="R429" s="3" t="s">
        <v>67</v>
      </c>
      <c r="S429" s="3" t="s">
        <v>68</v>
      </c>
      <c r="T429" s="3" t="s">
        <v>29</v>
      </c>
    </row>
    <row r="430" spans="1:20" ht="15" customHeight="1" x14ac:dyDescent="0.3">
      <c r="A430" s="3" t="s">
        <v>1394</v>
      </c>
      <c r="B430" s="3" t="s">
        <v>326</v>
      </c>
      <c r="C430" s="3" t="s">
        <v>0</v>
      </c>
      <c r="D430" s="3" t="s">
        <v>547</v>
      </c>
      <c r="E430" s="3" t="s">
        <v>1395</v>
      </c>
      <c r="F430" s="3" t="s">
        <v>124</v>
      </c>
      <c r="G430" s="3" t="s">
        <v>73</v>
      </c>
      <c r="H430" s="3" t="s">
        <v>21</v>
      </c>
      <c r="I430" s="3">
        <v>110</v>
      </c>
      <c r="J430" s="3" t="s">
        <v>102</v>
      </c>
      <c r="K430" s="3" t="s">
        <v>9</v>
      </c>
      <c r="L430" s="3" t="s">
        <v>66</v>
      </c>
      <c r="M430" s="4">
        <v>79900</v>
      </c>
      <c r="N430" s="5">
        <v>7.5</v>
      </c>
      <c r="O430" s="4">
        <f t="shared" si="12"/>
        <v>5992.5</v>
      </c>
      <c r="P430" s="4">
        <f t="shared" si="13"/>
        <v>73907.5</v>
      </c>
      <c r="Q430" s="3" t="s">
        <v>40</v>
      </c>
      <c r="R430" s="3" t="s">
        <v>68</v>
      </c>
      <c r="S430" s="3" t="s">
        <v>67</v>
      </c>
      <c r="T430" s="3" t="s">
        <v>32</v>
      </c>
    </row>
    <row r="431" spans="1:20" ht="15" customHeight="1" x14ac:dyDescent="0.3">
      <c r="A431" s="3" t="s">
        <v>1396</v>
      </c>
      <c r="B431" s="3" t="s">
        <v>376</v>
      </c>
      <c r="C431" s="3" t="s">
        <v>8</v>
      </c>
      <c r="D431" s="3" t="s">
        <v>1086</v>
      </c>
      <c r="E431" s="3" t="s">
        <v>1397</v>
      </c>
      <c r="F431" s="3" t="s">
        <v>155</v>
      </c>
      <c r="G431" s="3" t="s">
        <v>118</v>
      </c>
      <c r="H431" s="3" t="s">
        <v>20</v>
      </c>
      <c r="I431" s="3">
        <v>350</v>
      </c>
      <c r="J431" s="3" t="s">
        <v>96</v>
      </c>
      <c r="K431" s="3" t="s">
        <v>3</v>
      </c>
      <c r="L431" s="3" t="s">
        <v>82</v>
      </c>
      <c r="M431" s="4">
        <v>159900</v>
      </c>
      <c r="N431" s="5">
        <v>12.3</v>
      </c>
      <c r="O431" s="4">
        <f t="shared" si="12"/>
        <v>19667.7</v>
      </c>
      <c r="P431" s="4">
        <f t="shared" si="13"/>
        <v>140232.29999999999</v>
      </c>
      <c r="Q431" s="3" t="s">
        <v>28</v>
      </c>
      <c r="R431" s="3" t="s">
        <v>67</v>
      </c>
      <c r="S431" s="3" t="s">
        <v>67</v>
      </c>
      <c r="T431" s="3" t="s">
        <v>29</v>
      </c>
    </row>
    <row r="432" spans="1:20" ht="15" customHeight="1" x14ac:dyDescent="0.3">
      <c r="A432" s="3" t="s">
        <v>1398</v>
      </c>
      <c r="B432" s="3" t="s">
        <v>208</v>
      </c>
      <c r="C432" s="3" t="s">
        <v>2</v>
      </c>
      <c r="D432" s="3" t="s">
        <v>1399</v>
      </c>
      <c r="E432" s="3" t="s">
        <v>1400</v>
      </c>
      <c r="F432" s="3" t="s">
        <v>145</v>
      </c>
      <c r="G432" s="3" t="s">
        <v>189</v>
      </c>
      <c r="H432" s="3" t="s">
        <v>18</v>
      </c>
      <c r="I432" s="3">
        <v>100</v>
      </c>
      <c r="J432" s="3" t="s">
        <v>164</v>
      </c>
      <c r="K432" s="3" t="s">
        <v>1</v>
      </c>
      <c r="L432" s="3" t="s">
        <v>97</v>
      </c>
      <c r="M432" s="4">
        <v>72900</v>
      </c>
      <c r="N432" s="5">
        <v>5.2</v>
      </c>
      <c r="O432" s="4">
        <f t="shared" si="12"/>
        <v>3790.8</v>
      </c>
      <c r="P432" s="4">
        <f t="shared" si="13"/>
        <v>69109.2</v>
      </c>
      <c r="Q432" s="3" t="s">
        <v>36</v>
      </c>
      <c r="R432" s="3" t="s">
        <v>68</v>
      </c>
      <c r="S432" s="3" t="s">
        <v>68</v>
      </c>
      <c r="T432" s="3" t="s">
        <v>29</v>
      </c>
    </row>
    <row r="433" spans="1:20" ht="15" customHeight="1" x14ac:dyDescent="0.3">
      <c r="A433" s="3" t="s">
        <v>1401</v>
      </c>
      <c r="B433" s="3" t="s">
        <v>261</v>
      </c>
      <c r="C433" s="3" t="s">
        <v>13</v>
      </c>
      <c r="D433" s="3" t="s">
        <v>918</v>
      </c>
      <c r="E433" s="3" t="s">
        <v>1402</v>
      </c>
      <c r="F433" s="3" t="s">
        <v>63</v>
      </c>
      <c r="G433" s="3" t="s">
        <v>146</v>
      </c>
      <c r="H433" s="3" t="s">
        <v>18</v>
      </c>
      <c r="I433" s="3">
        <v>110</v>
      </c>
      <c r="J433" s="3" t="s">
        <v>81</v>
      </c>
      <c r="K433" s="3" t="s">
        <v>7</v>
      </c>
      <c r="L433" s="3" t="s">
        <v>97</v>
      </c>
      <c r="M433" s="4">
        <v>74900</v>
      </c>
      <c r="N433" s="5">
        <v>7.5</v>
      </c>
      <c r="O433" s="4">
        <f t="shared" si="12"/>
        <v>5617.5</v>
      </c>
      <c r="P433" s="4">
        <f t="shared" si="13"/>
        <v>69282.5</v>
      </c>
      <c r="Q433" s="3" t="s">
        <v>31</v>
      </c>
      <c r="R433" s="3" t="s">
        <v>67</v>
      </c>
      <c r="S433" s="3" t="s">
        <v>68</v>
      </c>
      <c r="T433" s="3" t="s">
        <v>29</v>
      </c>
    </row>
    <row r="434" spans="1:20" ht="15" customHeight="1" x14ac:dyDescent="0.3">
      <c r="A434" s="3" t="s">
        <v>1403</v>
      </c>
      <c r="B434" s="3" t="s">
        <v>293</v>
      </c>
      <c r="C434" s="3" t="s">
        <v>10</v>
      </c>
      <c r="D434" s="3" t="s">
        <v>1014</v>
      </c>
      <c r="E434" s="3" t="s">
        <v>1404</v>
      </c>
      <c r="F434" s="3" t="s">
        <v>79</v>
      </c>
      <c r="G434" s="3" t="s">
        <v>64</v>
      </c>
      <c r="H434" s="3" t="s">
        <v>19</v>
      </c>
      <c r="I434" s="3">
        <v>200</v>
      </c>
      <c r="J434" s="3" t="s">
        <v>164</v>
      </c>
      <c r="K434" s="3" t="s">
        <v>5</v>
      </c>
      <c r="L434" s="3" t="s">
        <v>103</v>
      </c>
      <c r="M434" s="4">
        <v>199900</v>
      </c>
      <c r="N434" s="5">
        <v>4.7</v>
      </c>
      <c r="O434" s="4">
        <f t="shared" si="12"/>
        <v>9395.2999999999993</v>
      </c>
      <c r="P434" s="4">
        <f t="shared" si="13"/>
        <v>190504.7</v>
      </c>
      <c r="Q434" s="3" t="s">
        <v>34</v>
      </c>
      <c r="R434" s="3" t="s">
        <v>68</v>
      </c>
      <c r="S434" s="3" t="s">
        <v>68</v>
      </c>
      <c r="T434" s="3" t="s">
        <v>26</v>
      </c>
    </row>
    <row r="435" spans="1:20" ht="15" customHeight="1" x14ac:dyDescent="0.3">
      <c r="A435" s="3" t="s">
        <v>1405</v>
      </c>
      <c r="B435" s="3" t="s">
        <v>826</v>
      </c>
      <c r="C435" s="3" t="s">
        <v>0</v>
      </c>
      <c r="D435" s="3" t="s">
        <v>585</v>
      </c>
      <c r="E435" s="3" t="s">
        <v>1406</v>
      </c>
      <c r="F435" s="3" t="s">
        <v>145</v>
      </c>
      <c r="G435" s="3" t="s">
        <v>88</v>
      </c>
      <c r="H435" s="3" t="s">
        <v>18</v>
      </c>
      <c r="I435" s="3">
        <v>125</v>
      </c>
      <c r="J435" s="3" t="s">
        <v>96</v>
      </c>
      <c r="K435" s="3" t="s">
        <v>5</v>
      </c>
      <c r="L435" s="3" t="s">
        <v>74</v>
      </c>
      <c r="M435" s="4">
        <v>94900</v>
      </c>
      <c r="N435" s="5">
        <v>6.1</v>
      </c>
      <c r="O435" s="4">
        <f t="shared" si="12"/>
        <v>5788.9</v>
      </c>
      <c r="P435" s="4">
        <f t="shared" si="13"/>
        <v>89111.1</v>
      </c>
      <c r="Q435" s="3" t="s">
        <v>28</v>
      </c>
      <c r="R435" s="3" t="s">
        <v>67</v>
      </c>
      <c r="S435" s="3" t="s">
        <v>67</v>
      </c>
      <c r="T435" s="3" t="s">
        <v>29</v>
      </c>
    </row>
    <row r="436" spans="1:20" ht="15" customHeight="1" x14ac:dyDescent="0.3">
      <c r="A436" s="3" t="s">
        <v>1407</v>
      </c>
      <c r="B436" s="3" t="s">
        <v>203</v>
      </c>
      <c r="C436" s="3" t="s">
        <v>10</v>
      </c>
      <c r="D436" s="3" t="s">
        <v>1408</v>
      </c>
      <c r="E436" s="3" t="s">
        <v>1409</v>
      </c>
      <c r="F436" s="3" t="s">
        <v>124</v>
      </c>
      <c r="G436" s="3" t="s">
        <v>184</v>
      </c>
      <c r="H436" s="3" t="s">
        <v>18</v>
      </c>
      <c r="I436" s="3">
        <v>125</v>
      </c>
      <c r="J436" s="3" t="s">
        <v>96</v>
      </c>
      <c r="K436" s="3" t="s">
        <v>9</v>
      </c>
      <c r="L436" s="3" t="s">
        <v>90</v>
      </c>
      <c r="M436" s="4">
        <v>79900</v>
      </c>
      <c r="N436" s="5">
        <v>12.6</v>
      </c>
      <c r="O436" s="4">
        <f t="shared" si="12"/>
        <v>10067.4</v>
      </c>
      <c r="P436" s="4">
        <f t="shared" si="13"/>
        <v>69832.600000000006</v>
      </c>
      <c r="Q436" s="3" t="s">
        <v>28</v>
      </c>
      <c r="R436" s="3" t="s">
        <v>67</v>
      </c>
      <c r="S436" s="3" t="s">
        <v>68</v>
      </c>
      <c r="T436" s="3" t="s">
        <v>26</v>
      </c>
    </row>
    <row r="437" spans="1:20" ht="15" customHeight="1" x14ac:dyDescent="0.3">
      <c r="A437" s="3" t="s">
        <v>1410</v>
      </c>
      <c r="B437" s="3" t="s">
        <v>809</v>
      </c>
      <c r="C437" s="3" t="s">
        <v>17</v>
      </c>
      <c r="D437" s="3" t="s">
        <v>604</v>
      </c>
      <c r="E437" s="3" t="s">
        <v>1411</v>
      </c>
      <c r="F437" s="3" t="s">
        <v>112</v>
      </c>
      <c r="G437" s="3" t="s">
        <v>146</v>
      </c>
      <c r="H437" s="3" t="s">
        <v>18</v>
      </c>
      <c r="I437" s="3">
        <v>110</v>
      </c>
      <c r="J437" s="3" t="s">
        <v>102</v>
      </c>
      <c r="K437" s="3" t="s">
        <v>5</v>
      </c>
      <c r="L437" s="3" t="s">
        <v>82</v>
      </c>
      <c r="M437" s="4">
        <v>74900</v>
      </c>
      <c r="N437" s="5">
        <v>11.6</v>
      </c>
      <c r="O437" s="4">
        <f t="shared" si="12"/>
        <v>8688.4</v>
      </c>
      <c r="P437" s="4">
        <f t="shared" si="13"/>
        <v>66211.600000000006</v>
      </c>
      <c r="Q437" s="3" t="s">
        <v>31</v>
      </c>
      <c r="R437" s="3" t="s">
        <v>68</v>
      </c>
      <c r="S437" s="3" t="s">
        <v>68</v>
      </c>
      <c r="T437" s="3" t="s">
        <v>26</v>
      </c>
    </row>
    <row r="438" spans="1:20" ht="15" customHeight="1" x14ac:dyDescent="0.3">
      <c r="A438" s="3" t="s">
        <v>1412</v>
      </c>
      <c r="B438" s="3" t="s">
        <v>759</v>
      </c>
      <c r="C438" s="3" t="s">
        <v>8</v>
      </c>
      <c r="D438" s="3" t="s">
        <v>535</v>
      </c>
      <c r="E438" s="3" t="s">
        <v>1413</v>
      </c>
      <c r="F438" s="3" t="s">
        <v>145</v>
      </c>
      <c r="G438" s="3" t="s">
        <v>222</v>
      </c>
      <c r="H438" s="3" t="s">
        <v>19</v>
      </c>
      <c r="I438" s="3">
        <v>155</v>
      </c>
      <c r="J438" s="3" t="s">
        <v>102</v>
      </c>
      <c r="K438" s="3" t="s">
        <v>9</v>
      </c>
      <c r="L438" s="3" t="s">
        <v>82</v>
      </c>
      <c r="M438" s="4">
        <v>167900</v>
      </c>
      <c r="N438" s="5">
        <v>12</v>
      </c>
      <c r="O438" s="4">
        <f t="shared" si="12"/>
        <v>20148</v>
      </c>
      <c r="P438" s="4">
        <f t="shared" si="13"/>
        <v>147752</v>
      </c>
      <c r="Q438" s="3" t="s">
        <v>36</v>
      </c>
      <c r="R438" s="3" t="s">
        <v>67</v>
      </c>
      <c r="S438" s="3" t="s">
        <v>68</v>
      </c>
      <c r="T438" s="3" t="s">
        <v>29</v>
      </c>
    </row>
    <row r="439" spans="1:20" ht="15" customHeight="1" x14ac:dyDescent="0.3">
      <c r="A439" s="3" t="s">
        <v>1414</v>
      </c>
      <c r="B439" s="3" t="s">
        <v>166</v>
      </c>
      <c r="C439" s="3" t="s">
        <v>4</v>
      </c>
      <c r="D439" s="3" t="s">
        <v>1100</v>
      </c>
      <c r="E439" s="3" t="s">
        <v>1415</v>
      </c>
      <c r="F439" s="3" t="s">
        <v>155</v>
      </c>
      <c r="G439" s="3" t="s">
        <v>146</v>
      </c>
      <c r="H439" s="3" t="s">
        <v>18</v>
      </c>
      <c r="I439" s="3">
        <v>110</v>
      </c>
      <c r="J439" s="3" t="s">
        <v>179</v>
      </c>
      <c r="K439" s="3" t="s">
        <v>5</v>
      </c>
      <c r="L439" s="3" t="s">
        <v>97</v>
      </c>
      <c r="M439" s="4">
        <v>74900</v>
      </c>
      <c r="N439" s="5">
        <v>5.0999999999999996</v>
      </c>
      <c r="O439" s="4">
        <f t="shared" si="12"/>
        <v>3819.9</v>
      </c>
      <c r="P439" s="4">
        <f t="shared" si="13"/>
        <v>71080.100000000006</v>
      </c>
      <c r="Q439" s="3" t="s">
        <v>28</v>
      </c>
      <c r="R439" s="3" t="s">
        <v>68</v>
      </c>
      <c r="S439" s="3" t="s">
        <v>68</v>
      </c>
      <c r="T439" s="3" t="s">
        <v>32</v>
      </c>
    </row>
    <row r="440" spans="1:20" ht="15" customHeight="1" x14ac:dyDescent="0.3">
      <c r="A440" s="3" t="s">
        <v>1416</v>
      </c>
      <c r="B440" s="3" t="s">
        <v>105</v>
      </c>
      <c r="C440" s="3" t="s">
        <v>13</v>
      </c>
      <c r="D440" s="3" t="s">
        <v>1417</v>
      </c>
      <c r="E440" s="3" t="s">
        <v>1418</v>
      </c>
      <c r="F440" s="3" t="s">
        <v>145</v>
      </c>
      <c r="G440" s="3" t="s">
        <v>95</v>
      </c>
      <c r="H440" s="3" t="s">
        <v>22</v>
      </c>
      <c r="I440" s="3">
        <v>0</v>
      </c>
      <c r="J440" s="3" t="s">
        <v>102</v>
      </c>
      <c r="K440" s="3" t="s">
        <v>9</v>
      </c>
      <c r="L440" s="3" t="s">
        <v>136</v>
      </c>
      <c r="M440" s="4">
        <v>139999</v>
      </c>
      <c r="N440" s="5">
        <v>4.5999999999999996</v>
      </c>
      <c r="O440" s="4">
        <f t="shared" si="12"/>
        <v>6439.9539999999988</v>
      </c>
      <c r="P440" s="4">
        <f t="shared" si="13"/>
        <v>133559.046</v>
      </c>
      <c r="Q440" s="3" t="s">
        <v>25</v>
      </c>
      <c r="R440" s="3" t="s">
        <v>67</v>
      </c>
      <c r="S440" s="3" t="s">
        <v>68</v>
      </c>
      <c r="T440" s="3" t="s">
        <v>26</v>
      </c>
    </row>
    <row r="441" spans="1:20" ht="15" customHeight="1" x14ac:dyDescent="0.3">
      <c r="A441" s="3" t="s">
        <v>1419</v>
      </c>
      <c r="B441" s="3" t="s">
        <v>521</v>
      </c>
      <c r="C441" s="3" t="s">
        <v>15</v>
      </c>
      <c r="D441" s="3" t="s">
        <v>760</v>
      </c>
      <c r="E441" s="3" t="s">
        <v>1420</v>
      </c>
      <c r="F441" s="3" t="s">
        <v>174</v>
      </c>
      <c r="G441" s="3" t="s">
        <v>80</v>
      </c>
      <c r="H441" s="3" t="s">
        <v>22</v>
      </c>
      <c r="I441" s="3">
        <v>0</v>
      </c>
      <c r="J441" s="3" t="s">
        <v>164</v>
      </c>
      <c r="K441" s="3" t="s">
        <v>3</v>
      </c>
      <c r="L441" s="3" t="s">
        <v>90</v>
      </c>
      <c r="M441" s="4">
        <v>145000</v>
      </c>
      <c r="N441" s="5">
        <v>10.199999999999999</v>
      </c>
      <c r="O441" s="4">
        <f t="shared" si="12"/>
        <v>14790</v>
      </c>
      <c r="P441" s="4">
        <f t="shared" si="13"/>
        <v>130210</v>
      </c>
      <c r="Q441" s="3" t="s">
        <v>40</v>
      </c>
      <c r="R441" s="3" t="s">
        <v>67</v>
      </c>
      <c r="S441" s="3" t="s">
        <v>67</v>
      </c>
      <c r="T441" s="3" t="s">
        <v>26</v>
      </c>
    </row>
    <row r="442" spans="1:20" ht="15" customHeight="1" x14ac:dyDescent="0.3">
      <c r="A442" s="3" t="s">
        <v>1421</v>
      </c>
      <c r="B442" s="3" t="s">
        <v>579</v>
      </c>
      <c r="C442" s="3" t="s">
        <v>0</v>
      </c>
      <c r="D442" s="3" t="s">
        <v>1422</v>
      </c>
      <c r="E442" s="3" t="s">
        <v>1423</v>
      </c>
      <c r="F442" s="3" t="s">
        <v>134</v>
      </c>
      <c r="G442" s="3" t="s">
        <v>169</v>
      </c>
      <c r="H442" s="3" t="s">
        <v>18</v>
      </c>
      <c r="I442" s="3">
        <v>162</v>
      </c>
      <c r="J442" s="3" t="s">
        <v>65</v>
      </c>
      <c r="K442" s="3" t="s">
        <v>9</v>
      </c>
      <c r="L442" s="3" t="s">
        <v>82</v>
      </c>
      <c r="M442" s="4">
        <v>124900</v>
      </c>
      <c r="N442" s="5">
        <v>7.6</v>
      </c>
      <c r="O442" s="4">
        <f t="shared" si="12"/>
        <v>9492.4</v>
      </c>
      <c r="P442" s="4">
        <f t="shared" si="13"/>
        <v>115407.6</v>
      </c>
      <c r="Q442" s="3" t="s">
        <v>40</v>
      </c>
      <c r="R442" s="3" t="s">
        <v>67</v>
      </c>
      <c r="S442" s="3" t="s">
        <v>68</v>
      </c>
      <c r="T442" s="3" t="s">
        <v>29</v>
      </c>
    </row>
    <row r="443" spans="1:20" ht="15" customHeight="1" x14ac:dyDescent="0.3">
      <c r="A443" s="3" t="s">
        <v>1424</v>
      </c>
      <c r="B443" s="3" t="s">
        <v>152</v>
      </c>
      <c r="C443" s="3" t="s">
        <v>6</v>
      </c>
      <c r="D443" s="3" t="s">
        <v>1425</v>
      </c>
      <c r="E443" s="3" t="s">
        <v>1426</v>
      </c>
      <c r="F443" s="3" t="s">
        <v>145</v>
      </c>
      <c r="G443" s="3" t="s">
        <v>211</v>
      </c>
      <c r="H443" s="3" t="s">
        <v>20</v>
      </c>
      <c r="I443" s="3">
        <v>350</v>
      </c>
      <c r="J443" s="3" t="s">
        <v>243</v>
      </c>
      <c r="K443" s="3" t="s">
        <v>7</v>
      </c>
      <c r="L443" s="3" t="s">
        <v>136</v>
      </c>
      <c r="M443" s="4">
        <v>199900</v>
      </c>
      <c r="N443" s="5">
        <v>5.7</v>
      </c>
      <c r="O443" s="4">
        <f t="shared" si="12"/>
        <v>11394.3</v>
      </c>
      <c r="P443" s="4">
        <f t="shared" si="13"/>
        <v>188505.7</v>
      </c>
      <c r="Q443" s="3" t="s">
        <v>34</v>
      </c>
      <c r="R443" s="3" t="s">
        <v>67</v>
      </c>
      <c r="S443" s="3" t="s">
        <v>68</v>
      </c>
      <c r="T443" s="3" t="s">
        <v>26</v>
      </c>
    </row>
    <row r="444" spans="1:20" ht="15" customHeight="1" x14ac:dyDescent="0.3">
      <c r="A444" s="3" t="s">
        <v>1427</v>
      </c>
      <c r="B444" s="3" t="s">
        <v>234</v>
      </c>
      <c r="C444" s="3" t="s">
        <v>14</v>
      </c>
      <c r="D444" s="3" t="s">
        <v>1428</v>
      </c>
      <c r="E444" s="3" t="s">
        <v>1429</v>
      </c>
      <c r="F444" s="3" t="s">
        <v>117</v>
      </c>
      <c r="G444" s="3" t="s">
        <v>118</v>
      </c>
      <c r="H444" s="3" t="s">
        <v>20</v>
      </c>
      <c r="I444" s="3">
        <v>350</v>
      </c>
      <c r="J444" s="3" t="s">
        <v>119</v>
      </c>
      <c r="K444" s="3" t="s">
        <v>3</v>
      </c>
      <c r="L444" s="3" t="s">
        <v>103</v>
      </c>
      <c r="M444" s="4">
        <v>159900</v>
      </c>
      <c r="N444" s="5">
        <v>9</v>
      </c>
      <c r="O444" s="4">
        <f t="shared" si="12"/>
        <v>14391</v>
      </c>
      <c r="P444" s="4">
        <f t="shared" si="13"/>
        <v>145509</v>
      </c>
      <c r="Q444" s="3" t="s">
        <v>40</v>
      </c>
      <c r="R444" s="3" t="s">
        <v>67</v>
      </c>
      <c r="S444" s="3" t="s">
        <v>68</v>
      </c>
      <c r="T444" s="3" t="s">
        <v>32</v>
      </c>
    </row>
    <row r="445" spans="1:20" ht="15" customHeight="1" x14ac:dyDescent="0.3">
      <c r="A445" s="3" t="s">
        <v>1430</v>
      </c>
      <c r="B445" s="3" t="s">
        <v>114</v>
      </c>
      <c r="C445" s="3" t="s">
        <v>4</v>
      </c>
      <c r="D445" s="3" t="s">
        <v>1382</v>
      </c>
      <c r="E445" s="3" t="s">
        <v>1431</v>
      </c>
      <c r="F445" s="3" t="s">
        <v>145</v>
      </c>
      <c r="G445" s="3" t="s">
        <v>73</v>
      </c>
      <c r="H445" s="3" t="s">
        <v>21</v>
      </c>
      <c r="I445" s="3">
        <v>110</v>
      </c>
      <c r="J445" s="3" t="s">
        <v>102</v>
      </c>
      <c r="K445" s="3" t="s">
        <v>9</v>
      </c>
      <c r="L445" s="3" t="s">
        <v>97</v>
      </c>
      <c r="M445" s="4">
        <v>79900</v>
      </c>
      <c r="N445" s="5">
        <v>6.2</v>
      </c>
      <c r="O445" s="4">
        <f t="shared" si="12"/>
        <v>4953.8</v>
      </c>
      <c r="P445" s="4">
        <f t="shared" si="13"/>
        <v>74946.2</v>
      </c>
      <c r="Q445" s="3" t="s">
        <v>34</v>
      </c>
      <c r="R445" s="3" t="s">
        <v>67</v>
      </c>
      <c r="S445" s="3" t="s">
        <v>67</v>
      </c>
      <c r="T445" s="3" t="s">
        <v>26</v>
      </c>
    </row>
    <row r="446" spans="1:20" ht="15" customHeight="1" x14ac:dyDescent="0.3">
      <c r="A446" s="3" t="s">
        <v>1432</v>
      </c>
      <c r="B446" s="3" t="s">
        <v>489</v>
      </c>
      <c r="C446" s="3" t="s">
        <v>8</v>
      </c>
      <c r="D446" s="3" t="s">
        <v>1433</v>
      </c>
      <c r="E446" s="3" t="s">
        <v>1434</v>
      </c>
      <c r="F446" s="3" t="s">
        <v>117</v>
      </c>
      <c r="G446" s="3" t="s">
        <v>201</v>
      </c>
      <c r="H446" s="3" t="s">
        <v>19</v>
      </c>
      <c r="I446" s="3">
        <v>160</v>
      </c>
      <c r="J446" s="3" t="s">
        <v>129</v>
      </c>
      <c r="K446" s="3" t="s">
        <v>5</v>
      </c>
      <c r="L446" s="3" t="s">
        <v>206</v>
      </c>
      <c r="M446" s="4">
        <v>129900</v>
      </c>
      <c r="N446" s="5">
        <v>12.5</v>
      </c>
      <c r="O446" s="4">
        <f t="shared" si="12"/>
        <v>16237.5</v>
      </c>
      <c r="P446" s="4">
        <f t="shared" si="13"/>
        <v>113662.5</v>
      </c>
      <c r="Q446" s="3" t="s">
        <v>36</v>
      </c>
      <c r="R446" s="3" t="s">
        <v>67</v>
      </c>
      <c r="S446" s="3" t="s">
        <v>67</v>
      </c>
      <c r="T446" s="3" t="s">
        <v>32</v>
      </c>
    </row>
    <row r="447" spans="1:20" ht="15" customHeight="1" x14ac:dyDescent="0.3">
      <c r="A447" s="3" t="s">
        <v>1435</v>
      </c>
      <c r="B447" s="3" t="s">
        <v>421</v>
      </c>
      <c r="C447" s="3" t="s">
        <v>15</v>
      </c>
      <c r="D447" s="3" t="s">
        <v>1436</v>
      </c>
      <c r="E447" s="3" t="s">
        <v>1437</v>
      </c>
      <c r="F447" s="3" t="s">
        <v>124</v>
      </c>
      <c r="G447" s="3" t="s">
        <v>222</v>
      </c>
      <c r="H447" s="3" t="s">
        <v>19</v>
      </c>
      <c r="I447" s="3">
        <v>155</v>
      </c>
      <c r="J447" s="3" t="s">
        <v>89</v>
      </c>
      <c r="K447" s="3" t="s">
        <v>11</v>
      </c>
      <c r="L447" s="3" t="s">
        <v>74</v>
      </c>
      <c r="M447" s="4">
        <v>167900</v>
      </c>
      <c r="N447" s="5">
        <v>5.3</v>
      </c>
      <c r="O447" s="4">
        <f t="shared" si="12"/>
        <v>8898.7000000000007</v>
      </c>
      <c r="P447" s="4">
        <f t="shared" si="13"/>
        <v>159001.29999999999</v>
      </c>
      <c r="Q447" s="3" t="s">
        <v>28</v>
      </c>
      <c r="R447" s="3" t="s">
        <v>68</v>
      </c>
      <c r="S447" s="3" t="s">
        <v>68</v>
      </c>
      <c r="T447" s="3" t="s">
        <v>29</v>
      </c>
    </row>
    <row r="448" spans="1:20" ht="15" customHeight="1" x14ac:dyDescent="0.3">
      <c r="A448" s="3" t="s">
        <v>1438</v>
      </c>
      <c r="B448" s="3" t="s">
        <v>245</v>
      </c>
      <c r="C448" s="3" t="s">
        <v>14</v>
      </c>
      <c r="D448" s="3" t="s">
        <v>615</v>
      </c>
      <c r="E448" s="3" t="s">
        <v>1439</v>
      </c>
      <c r="F448" s="3" t="s">
        <v>124</v>
      </c>
      <c r="G448" s="3" t="s">
        <v>156</v>
      </c>
      <c r="H448" s="3" t="s">
        <v>21</v>
      </c>
      <c r="I448" s="3">
        <v>125</v>
      </c>
      <c r="J448" s="3" t="s">
        <v>179</v>
      </c>
      <c r="K448" s="3" t="s">
        <v>1</v>
      </c>
      <c r="L448" s="3" t="s">
        <v>82</v>
      </c>
      <c r="M448" s="4">
        <v>88900</v>
      </c>
      <c r="N448" s="5">
        <v>11.7</v>
      </c>
      <c r="O448" s="4">
        <f t="shared" si="12"/>
        <v>10401.299999999999</v>
      </c>
      <c r="P448" s="4">
        <f t="shared" si="13"/>
        <v>78498.7</v>
      </c>
      <c r="Q448" s="3" t="s">
        <v>36</v>
      </c>
      <c r="R448" s="3" t="s">
        <v>67</v>
      </c>
      <c r="S448" s="3" t="s">
        <v>68</v>
      </c>
      <c r="T448" s="3" t="s">
        <v>29</v>
      </c>
    </row>
    <row r="449" spans="1:20" ht="15" customHeight="1" x14ac:dyDescent="0.3">
      <c r="A449" s="3" t="s">
        <v>1440</v>
      </c>
      <c r="B449" s="3" t="s">
        <v>924</v>
      </c>
      <c r="C449" s="3" t="s">
        <v>14</v>
      </c>
      <c r="D449" s="3" t="s">
        <v>1441</v>
      </c>
      <c r="E449" s="3" t="s">
        <v>1442</v>
      </c>
      <c r="F449" s="3" t="s">
        <v>155</v>
      </c>
      <c r="G449" s="3" t="s">
        <v>256</v>
      </c>
      <c r="H449" s="3" t="s">
        <v>21</v>
      </c>
      <c r="I449" s="3">
        <v>110</v>
      </c>
      <c r="J449" s="3" t="s">
        <v>96</v>
      </c>
      <c r="K449" s="3" t="s">
        <v>1</v>
      </c>
      <c r="L449" s="3" t="s">
        <v>97</v>
      </c>
      <c r="M449" s="4">
        <v>80900</v>
      </c>
      <c r="N449" s="5">
        <v>9.5</v>
      </c>
      <c r="O449" s="4">
        <f t="shared" si="12"/>
        <v>7685.5</v>
      </c>
      <c r="P449" s="4">
        <f t="shared" si="13"/>
        <v>73214.5</v>
      </c>
      <c r="Q449" s="3" t="s">
        <v>38</v>
      </c>
      <c r="R449" s="3" t="s">
        <v>67</v>
      </c>
      <c r="S449" s="3" t="s">
        <v>68</v>
      </c>
      <c r="T449" s="3" t="s">
        <v>26</v>
      </c>
    </row>
    <row r="450" spans="1:20" ht="15" customHeight="1" x14ac:dyDescent="0.3">
      <c r="A450" s="3" t="s">
        <v>1443</v>
      </c>
      <c r="B450" s="3" t="s">
        <v>594</v>
      </c>
      <c r="C450" s="3" t="s">
        <v>15</v>
      </c>
      <c r="D450" s="3" t="s">
        <v>1444</v>
      </c>
      <c r="E450" s="3" t="s">
        <v>1445</v>
      </c>
      <c r="F450" s="3" t="s">
        <v>117</v>
      </c>
      <c r="G450" s="3" t="s">
        <v>135</v>
      </c>
      <c r="H450" s="3" t="s">
        <v>19</v>
      </c>
      <c r="I450" s="3">
        <v>160</v>
      </c>
      <c r="J450" s="3" t="s">
        <v>96</v>
      </c>
      <c r="K450" s="3" t="s">
        <v>1</v>
      </c>
      <c r="L450" s="3" t="s">
        <v>82</v>
      </c>
      <c r="M450" s="4">
        <v>124900</v>
      </c>
      <c r="N450" s="5">
        <v>11.3</v>
      </c>
      <c r="O450" s="4">
        <f t="shared" ref="O450:O513" si="14">M450*N450/100</f>
        <v>14113.7</v>
      </c>
      <c r="P450" s="4">
        <f t="shared" ref="P450:P513" si="15">M450-O450</f>
        <v>110786.3</v>
      </c>
      <c r="Q450" s="3" t="s">
        <v>40</v>
      </c>
      <c r="R450" s="3" t="s">
        <v>67</v>
      </c>
      <c r="S450" s="3" t="s">
        <v>68</v>
      </c>
      <c r="T450" s="3" t="s">
        <v>32</v>
      </c>
    </row>
    <row r="451" spans="1:20" ht="15" customHeight="1" x14ac:dyDescent="0.3">
      <c r="A451" s="3" t="s">
        <v>1446</v>
      </c>
      <c r="B451" s="3" t="s">
        <v>84</v>
      </c>
      <c r="C451" s="3" t="s">
        <v>17</v>
      </c>
      <c r="D451" s="3" t="s">
        <v>1447</v>
      </c>
      <c r="E451" s="3" t="s">
        <v>1448</v>
      </c>
      <c r="F451" s="3" t="s">
        <v>145</v>
      </c>
      <c r="G451" s="3" t="s">
        <v>73</v>
      </c>
      <c r="H451" s="3" t="s">
        <v>21</v>
      </c>
      <c r="I451" s="3">
        <v>110</v>
      </c>
      <c r="J451" s="3" t="s">
        <v>119</v>
      </c>
      <c r="K451" s="3" t="s">
        <v>1</v>
      </c>
      <c r="L451" s="3" t="s">
        <v>206</v>
      </c>
      <c r="M451" s="4">
        <v>79900</v>
      </c>
      <c r="N451" s="5">
        <v>6</v>
      </c>
      <c r="O451" s="4">
        <f t="shared" si="14"/>
        <v>4794</v>
      </c>
      <c r="P451" s="4">
        <f t="shared" si="15"/>
        <v>75106</v>
      </c>
      <c r="Q451" s="3" t="s">
        <v>28</v>
      </c>
      <c r="R451" s="3" t="s">
        <v>68</v>
      </c>
      <c r="S451" s="3" t="s">
        <v>68</v>
      </c>
      <c r="T451" s="3" t="s">
        <v>29</v>
      </c>
    </row>
    <row r="452" spans="1:20" ht="15" customHeight="1" x14ac:dyDescent="0.3">
      <c r="A452" s="3" t="s">
        <v>1449</v>
      </c>
      <c r="B452" s="3" t="s">
        <v>213</v>
      </c>
      <c r="C452" s="3" t="s">
        <v>8</v>
      </c>
      <c r="D452" s="3" t="s">
        <v>1450</v>
      </c>
      <c r="E452" s="3" t="s">
        <v>1451</v>
      </c>
      <c r="F452" s="3" t="s">
        <v>145</v>
      </c>
      <c r="G452" s="3" t="s">
        <v>201</v>
      </c>
      <c r="H452" s="3" t="s">
        <v>19</v>
      </c>
      <c r="I452" s="3">
        <v>160</v>
      </c>
      <c r="J452" s="3" t="s">
        <v>164</v>
      </c>
      <c r="K452" s="3" t="s">
        <v>3</v>
      </c>
      <c r="L452" s="3" t="s">
        <v>136</v>
      </c>
      <c r="M452" s="4">
        <v>129900</v>
      </c>
      <c r="N452" s="5">
        <v>4.4000000000000004</v>
      </c>
      <c r="O452" s="4">
        <f t="shared" si="14"/>
        <v>5715.6</v>
      </c>
      <c r="P452" s="4">
        <f t="shared" si="15"/>
        <v>124184.4</v>
      </c>
      <c r="Q452" s="3" t="s">
        <v>34</v>
      </c>
      <c r="R452" s="3" t="s">
        <v>68</v>
      </c>
      <c r="S452" s="3" t="s">
        <v>68</v>
      </c>
      <c r="T452" s="3" t="s">
        <v>26</v>
      </c>
    </row>
    <row r="453" spans="1:20" ht="15" customHeight="1" x14ac:dyDescent="0.3">
      <c r="A453" s="3" t="s">
        <v>1452</v>
      </c>
      <c r="B453" s="3" t="s">
        <v>326</v>
      </c>
      <c r="C453" s="3" t="s">
        <v>0</v>
      </c>
      <c r="D453" s="3" t="s">
        <v>1453</v>
      </c>
      <c r="E453" s="3" t="s">
        <v>1454</v>
      </c>
      <c r="F453" s="3" t="s">
        <v>124</v>
      </c>
      <c r="G453" s="3" t="s">
        <v>201</v>
      </c>
      <c r="H453" s="3" t="s">
        <v>19</v>
      </c>
      <c r="I453" s="3">
        <v>160</v>
      </c>
      <c r="J453" s="3" t="s">
        <v>81</v>
      </c>
      <c r="K453" s="3" t="s">
        <v>7</v>
      </c>
      <c r="L453" s="3" t="s">
        <v>66</v>
      </c>
      <c r="M453" s="4">
        <v>129900</v>
      </c>
      <c r="N453" s="5">
        <v>6.7</v>
      </c>
      <c r="O453" s="4">
        <f t="shared" si="14"/>
        <v>8703.2999999999993</v>
      </c>
      <c r="P453" s="4">
        <f t="shared" si="15"/>
        <v>121196.7</v>
      </c>
      <c r="Q453" s="3" t="s">
        <v>38</v>
      </c>
      <c r="R453" s="3" t="s">
        <v>68</v>
      </c>
      <c r="S453" s="3" t="s">
        <v>67</v>
      </c>
      <c r="T453" s="3" t="s">
        <v>32</v>
      </c>
    </row>
    <row r="454" spans="1:20" ht="15" customHeight="1" x14ac:dyDescent="0.3">
      <c r="A454" s="3" t="s">
        <v>1455</v>
      </c>
      <c r="B454" s="3" t="s">
        <v>99</v>
      </c>
      <c r="C454" s="3" t="s">
        <v>13</v>
      </c>
      <c r="D454" s="3" t="s">
        <v>177</v>
      </c>
      <c r="E454" s="3" t="s">
        <v>1456</v>
      </c>
      <c r="F454" s="3" t="s">
        <v>174</v>
      </c>
      <c r="G454" s="3" t="s">
        <v>324</v>
      </c>
      <c r="H454" s="3" t="s">
        <v>19</v>
      </c>
      <c r="I454" s="3">
        <v>149</v>
      </c>
      <c r="J454" s="3" t="s">
        <v>89</v>
      </c>
      <c r="K454" s="3" t="s">
        <v>7</v>
      </c>
      <c r="L454" s="3" t="s">
        <v>66</v>
      </c>
      <c r="M454" s="4">
        <v>119900</v>
      </c>
      <c r="N454" s="5">
        <v>10.9</v>
      </c>
      <c r="O454" s="4">
        <f t="shared" si="14"/>
        <v>13069.1</v>
      </c>
      <c r="P454" s="4">
        <f t="shared" si="15"/>
        <v>106830.9</v>
      </c>
      <c r="Q454" s="3" t="s">
        <v>28</v>
      </c>
      <c r="R454" s="3" t="s">
        <v>67</v>
      </c>
      <c r="S454" s="3" t="s">
        <v>68</v>
      </c>
      <c r="T454" s="3" t="s">
        <v>32</v>
      </c>
    </row>
    <row r="455" spans="1:20" ht="15" customHeight="1" x14ac:dyDescent="0.3">
      <c r="A455" s="3" t="s">
        <v>1457</v>
      </c>
      <c r="B455" s="3" t="s">
        <v>191</v>
      </c>
      <c r="C455" s="3" t="s">
        <v>14</v>
      </c>
      <c r="D455" s="3" t="s">
        <v>1458</v>
      </c>
      <c r="E455" s="3" t="s">
        <v>1459</v>
      </c>
      <c r="F455" s="3" t="s">
        <v>124</v>
      </c>
      <c r="G455" s="3" t="s">
        <v>189</v>
      </c>
      <c r="H455" s="3" t="s">
        <v>18</v>
      </c>
      <c r="I455" s="3">
        <v>100</v>
      </c>
      <c r="J455" s="3" t="s">
        <v>129</v>
      </c>
      <c r="K455" s="3" t="s">
        <v>5</v>
      </c>
      <c r="L455" s="3" t="s">
        <v>90</v>
      </c>
      <c r="M455" s="4">
        <v>72900</v>
      </c>
      <c r="N455" s="5">
        <v>10.6</v>
      </c>
      <c r="O455" s="4">
        <f t="shared" si="14"/>
        <v>7727.4</v>
      </c>
      <c r="P455" s="4">
        <f t="shared" si="15"/>
        <v>65172.6</v>
      </c>
      <c r="Q455" s="3" t="s">
        <v>40</v>
      </c>
      <c r="R455" s="3" t="s">
        <v>67</v>
      </c>
      <c r="S455" s="3" t="s">
        <v>68</v>
      </c>
      <c r="T455" s="3" t="s">
        <v>26</v>
      </c>
    </row>
    <row r="456" spans="1:20" ht="15" customHeight="1" x14ac:dyDescent="0.3">
      <c r="A456" s="3" t="s">
        <v>1460</v>
      </c>
      <c r="B456" s="3" t="s">
        <v>489</v>
      </c>
      <c r="C456" s="3" t="s">
        <v>8</v>
      </c>
      <c r="D456" s="3" t="s">
        <v>1461</v>
      </c>
      <c r="E456" s="3" t="s">
        <v>1462</v>
      </c>
      <c r="F456" s="3" t="s">
        <v>155</v>
      </c>
      <c r="G456" s="3" t="s">
        <v>80</v>
      </c>
      <c r="H456" s="3" t="s">
        <v>22</v>
      </c>
      <c r="I456" s="3">
        <v>0</v>
      </c>
      <c r="J456" s="3" t="s">
        <v>129</v>
      </c>
      <c r="K456" s="3" t="s">
        <v>7</v>
      </c>
      <c r="L456" s="3" t="s">
        <v>90</v>
      </c>
      <c r="M456" s="4">
        <v>145000</v>
      </c>
      <c r="N456" s="5">
        <v>11.6</v>
      </c>
      <c r="O456" s="4">
        <f t="shared" si="14"/>
        <v>16820</v>
      </c>
      <c r="P456" s="4">
        <f t="shared" si="15"/>
        <v>128180</v>
      </c>
      <c r="Q456" s="3" t="s">
        <v>28</v>
      </c>
      <c r="R456" s="3" t="s">
        <v>67</v>
      </c>
      <c r="S456" s="3" t="s">
        <v>68</v>
      </c>
      <c r="T456" s="3" t="s">
        <v>26</v>
      </c>
    </row>
    <row r="457" spans="1:20" ht="15" customHeight="1" x14ac:dyDescent="0.3">
      <c r="A457" s="3" t="s">
        <v>1463</v>
      </c>
      <c r="B457" s="3" t="s">
        <v>334</v>
      </c>
      <c r="C457" s="3" t="s">
        <v>0</v>
      </c>
      <c r="D457" s="3" t="s">
        <v>1464</v>
      </c>
      <c r="E457" s="3" t="s">
        <v>1465</v>
      </c>
      <c r="F457" s="3" t="s">
        <v>174</v>
      </c>
      <c r="G457" s="3" t="s">
        <v>88</v>
      </c>
      <c r="H457" s="3" t="s">
        <v>18</v>
      </c>
      <c r="I457" s="3">
        <v>125</v>
      </c>
      <c r="J457" s="3" t="s">
        <v>179</v>
      </c>
      <c r="K457" s="3" t="s">
        <v>1</v>
      </c>
      <c r="L457" s="3" t="s">
        <v>97</v>
      </c>
      <c r="M457" s="4">
        <v>94900</v>
      </c>
      <c r="N457" s="5">
        <v>11.8</v>
      </c>
      <c r="O457" s="4">
        <f t="shared" si="14"/>
        <v>11198.2</v>
      </c>
      <c r="P457" s="4">
        <f t="shared" si="15"/>
        <v>83701.8</v>
      </c>
      <c r="Q457" s="3" t="s">
        <v>40</v>
      </c>
      <c r="R457" s="3" t="s">
        <v>68</v>
      </c>
      <c r="S457" s="3" t="s">
        <v>68</v>
      </c>
      <c r="T457" s="3" t="s">
        <v>26</v>
      </c>
    </row>
    <row r="458" spans="1:20" ht="15" customHeight="1" x14ac:dyDescent="0.3">
      <c r="A458" s="3" t="s">
        <v>1466</v>
      </c>
      <c r="B458" s="3" t="s">
        <v>911</v>
      </c>
      <c r="C458" s="3" t="s">
        <v>17</v>
      </c>
      <c r="D458" s="3" t="s">
        <v>1467</v>
      </c>
      <c r="E458" s="3" t="s">
        <v>1468</v>
      </c>
      <c r="F458" s="3" t="s">
        <v>134</v>
      </c>
      <c r="G458" s="3" t="s">
        <v>201</v>
      </c>
      <c r="H458" s="3" t="s">
        <v>19</v>
      </c>
      <c r="I458" s="3">
        <v>160</v>
      </c>
      <c r="J458" s="3" t="s">
        <v>164</v>
      </c>
      <c r="K458" s="3" t="s">
        <v>1</v>
      </c>
      <c r="L458" s="3" t="s">
        <v>90</v>
      </c>
      <c r="M458" s="4">
        <v>129900</v>
      </c>
      <c r="N458" s="5">
        <v>6.6</v>
      </c>
      <c r="O458" s="4">
        <f t="shared" si="14"/>
        <v>8573.4</v>
      </c>
      <c r="P458" s="4">
        <f t="shared" si="15"/>
        <v>121326.6</v>
      </c>
      <c r="Q458" s="3" t="s">
        <v>34</v>
      </c>
      <c r="R458" s="3" t="s">
        <v>67</v>
      </c>
      <c r="S458" s="3" t="s">
        <v>68</v>
      </c>
      <c r="T458" s="3" t="s">
        <v>26</v>
      </c>
    </row>
    <row r="459" spans="1:20" ht="15" customHeight="1" x14ac:dyDescent="0.3">
      <c r="A459" s="3" t="s">
        <v>1469</v>
      </c>
      <c r="B459" s="3" t="s">
        <v>938</v>
      </c>
      <c r="C459" s="3" t="s">
        <v>6</v>
      </c>
      <c r="D459" s="3" t="s">
        <v>1470</v>
      </c>
      <c r="E459" s="3" t="s">
        <v>1471</v>
      </c>
      <c r="F459" s="3" t="s">
        <v>124</v>
      </c>
      <c r="G459" s="3" t="s">
        <v>118</v>
      </c>
      <c r="H459" s="3" t="s">
        <v>20</v>
      </c>
      <c r="I459" s="3">
        <v>350</v>
      </c>
      <c r="J459" s="3" t="s">
        <v>81</v>
      </c>
      <c r="K459" s="3" t="s">
        <v>9</v>
      </c>
      <c r="L459" s="3" t="s">
        <v>206</v>
      </c>
      <c r="M459" s="4">
        <v>159900</v>
      </c>
      <c r="N459" s="5">
        <v>13</v>
      </c>
      <c r="O459" s="4">
        <f t="shared" si="14"/>
        <v>20787</v>
      </c>
      <c r="P459" s="4">
        <f t="shared" si="15"/>
        <v>139113</v>
      </c>
      <c r="Q459" s="3" t="s">
        <v>31</v>
      </c>
      <c r="R459" s="3" t="s">
        <v>68</v>
      </c>
      <c r="S459" s="3" t="s">
        <v>67</v>
      </c>
      <c r="T459" s="3" t="s">
        <v>29</v>
      </c>
    </row>
    <row r="460" spans="1:20" ht="15" customHeight="1" x14ac:dyDescent="0.3">
      <c r="A460" s="3" t="s">
        <v>1472</v>
      </c>
      <c r="B460" s="3" t="s">
        <v>482</v>
      </c>
      <c r="C460" s="3" t="s">
        <v>6</v>
      </c>
      <c r="D460" s="3" t="s">
        <v>273</v>
      </c>
      <c r="E460" s="3" t="s">
        <v>1473</v>
      </c>
      <c r="F460" s="3" t="s">
        <v>174</v>
      </c>
      <c r="G460" s="3" t="s">
        <v>64</v>
      </c>
      <c r="H460" s="3" t="s">
        <v>19</v>
      </c>
      <c r="I460" s="3">
        <v>200</v>
      </c>
      <c r="J460" s="3" t="s">
        <v>179</v>
      </c>
      <c r="K460" s="3" t="s">
        <v>9</v>
      </c>
      <c r="L460" s="3" t="s">
        <v>82</v>
      </c>
      <c r="M460" s="4">
        <v>199900</v>
      </c>
      <c r="N460" s="5">
        <v>8.1</v>
      </c>
      <c r="O460" s="4">
        <f t="shared" si="14"/>
        <v>16191.9</v>
      </c>
      <c r="P460" s="4">
        <f t="shared" si="15"/>
        <v>183708.1</v>
      </c>
      <c r="Q460" s="3" t="s">
        <v>36</v>
      </c>
      <c r="R460" s="3" t="s">
        <v>67</v>
      </c>
      <c r="S460" s="3" t="s">
        <v>68</v>
      </c>
      <c r="T460" s="3" t="s">
        <v>26</v>
      </c>
    </row>
    <row r="461" spans="1:20" ht="15" customHeight="1" x14ac:dyDescent="0.3">
      <c r="A461" s="3" t="s">
        <v>1474</v>
      </c>
      <c r="B461" s="3" t="s">
        <v>380</v>
      </c>
      <c r="C461" s="3" t="s">
        <v>0</v>
      </c>
      <c r="D461" s="3" t="s">
        <v>407</v>
      </c>
      <c r="E461" s="3" t="s">
        <v>1475</v>
      </c>
      <c r="F461" s="3" t="s">
        <v>174</v>
      </c>
      <c r="G461" s="3" t="s">
        <v>222</v>
      </c>
      <c r="H461" s="3" t="s">
        <v>19</v>
      </c>
      <c r="I461" s="3">
        <v>155</v>
      </c>
      <c r="J461" s="3" t="s">
        <v>164</v>
      </c>
      <c r="K461" s="3" t="s">
        <v>1</v>
      </c>
      <c r="L461" s="3" t="s">
        <v>97</v>
      </c>
      <c r="M461" s="4">
        <v>167900</v>
      </c>
      <c r="N461" s="5">
        <v>7.9</v>
      </c>
      <c r="O461" s="4">
        <f t="shared" si="14"/>
        <v>13264.1</v>
      </c>
      <c r="P461" s="4">
        <f t="shared" si="15"/>
        <v>154635.9</v>
      </c>
      <c r="Q461" s="3" t="s">
        <v>28</v>
      </c>
      <c r="R461" s="3" t="s">
        <v>68</v>
      </c>
      <c r="S461" s="3" t="s">
        <v>68</v>
      </c>
      <c r="T461" s="3" t="s">
        <v>26</v>
      </c>
    </row>
    <row r="462" spans="1:20" ht="15" customHeight="1" x14ac:dyDescent="0.3">
      <c r="A462" s="3" t="s">
        <v>1476</v>
      </c>
      <c r="B462" s="3" t="s">
        <v>105</v>
      </c>
      <c r="C462" s="3" t="s">
        <v>13</v>
      </c>
      <c r="D462" s="3" t="s">
        <v>1477</v>
      </c>
      <c r="E462" s="3" t="s">
        <v>1478</v>
      </c>
      <c r="F462" s="3" t="s">
        <v>145</v>
      </c>
      <c r="G462" s="3" t="s">
        <v>316</v>
      </c>
      <c r="H462" s="3" t="s">
        <v>19</v>
      </c>
      <c r="I462" s="3">
        <v>150</v>
      </c>
      <c r="J462" s="3" t="s">
        <v>164</v>
      </c>
      <c r="K462" s="3" t="s">
        <v>9</v>
      </c>
      <c r="L462" s="3" t="s">
        <v>66</v>
      </c>
      <c r="M462" s="4">
        <v>109900</v>
      </c>
      <c r="N462" s="5">
        <v>10.3</v>
      </c>
      <c r="O462" s="4">
        <f t="shared" si="14"/>
        <v>11319.7</v>
      </c>
      <c r="P462" s="4">
        <f t="shared" si="15"/>
        <v>98580.3</v>
      </c>
      <c r="Q462" s="3" t="s">
        <v>40</v>
      </c>
      <c r="R462" s="3" t="s">
        <v>68</v>
      </c>
      <c r="S462" s="3" t="s">
        <v>68</v>
      </c>
      <c r="T462" s="3" t="s">
        <v>26</v>
      </c>
    </row>
    <row r="463" spans="1:20" ht="15" customHeight="1" x14ac:dyDescent="0.3">
      <c r="A463" s="3" t="s">
        <v>1479</v>
      </c>
      <c r="B463" s="3" t="s">
        <v>573</v>
      </c>
      <c r="C463" s="3" t="s">
        <v>12</v>
      </c>
      <c r="D463" s="3" t="s">
        <v>1480</v>
      </c>
      <c r="E463" s="3" t="s">
        <v>1481</v>
      </c>
      <c r="F463" s="3" t="s">
        <v>155</v>
      </c>
      <c r="G463" s="3" t="s">
        <v>135</v>
      </c>
      <c r="H463" s="3" t="s">
        <v>19</v>
      </c>
      <c r="I463" s="3">
        <v>160</v>
      </c>
      <c r="J463" s="3" t="s">
        <v>81</v>
      </c>
      <c r="K463" s="3" t="s">
        <v>11</v>
      </c>
      <c r="L463" s="3" t="s">
        <v>74</v>
      </c>
      <c r="M463" s="4">
        <v>124900</v>
      </c>
      <c r="N463" s="5">
        <v>6.7</v>
      </c>
      <c r="O463" s="4">
        <f t="shared" si="14"/>
        <v>8368.2999999999993</v>
      </c>
      <c r="P463" s="4">
        <f t="shared" si="15"/>
        <v>116531.7</v>
      </c>
      <c r="Q463" s="3" t="s">
        <v>34</v>
      </c>
      <c r="R463" s="3" t="s">
        <v>68</v>
      </c>
      <c r="S463" s="3" t="s">
        <v>68</v>
      </c>
      <c r="T463" s="3" t="s">
        <v>26</v>
      </c>
    </row>
    <row r="464" spans="1:20" ht="15" customHeight="1" x14ac:dyDescent="0.3">
      <c r="A464" s="3" t="s">
        <v>1482</v>
      </c>
      <c r="B464" s="3" t="s">
        <v>304</v>
      </c>
      <c r="C464" s="3" t="s">
        <v>2</v>
      </c>
      <c r="D464" s="3" t="s">
        <v>1483</v>
      </c>
      <c r="E464" s="3" t="s">
        <v>1484</v>
      </c>
      <c r="F464" s="3" t="s">
        <v>174</v>
      </c>
      <c r="G464" s="3" t="s">
        <v>324</v>
      </c>
      <c r="H464" s="3" t="s">
        <v>19</v>
      </c>
      <c r="I464" s="3">
        <v>149</v>
      </c>
      <c r="J464" s="3" t="s">
        <v>65</v>
      </c>
      <c r="K464" s="3" t="s">
        <v>7</v>
      </c>
      <c r="L464" s="3" t="s">
        <v>136</v>
      </c>
      <c r="M464" s="4">
        <v>119900</v>
      </c>
      <c r="N464" s="5">
        <v>6.4</v>
      </c>
      <c r="O464" s="4">
        <f t="shared" si="14"/>
        <v>7673.6</v>
      </c>
      <c r="P464" s="4">
        <f t="shared" si="15"/>
        <v>112226.4</v>
      </c>
      <c r="Q464" s="3" t="s">
        <v>31</v>
      </c>
      <c r="R464" s="3" t="s">
        <v>67</v>
      </c>
      <c r="S464" s="3" t="s">
        <v>68</v>
      </c>
      <c r="T464" s="3" t="s">
        <v>32</v>
      </c>
    </row>
    <row r="465" spans="1:20" ht="15" customHeight="1" x14ac:dyDescent="0.3">
      <c r="A465" s="3" t="s">
        <v>1485</v>
      </c>
      <c r="B465" s="3" t="s">
        <v>1486</v>
      </c>
      <c r="C465" s="3" t="s">
        <v>16</v>
      </c>
      <c r="D465" s="3" t="s">
        <v>1487</v>
      </c>
      <c r="E465" s="3" t="s">
        <v>1488</v>
      </c>
      <c r="F465" s="3" t="s">
        <v>87</v>
      </c>
      <c r="G465" s="3" t="s">
        <v>95</v>
      </c>
      <c r="H465" s="3" t="s">
        <v>22</v>
      </c>
      <c r="I465" s="3">
        <v>0</v>
      </c>
      <c r="J465" s="3" t="s">
        <v>119</v>
      </c>
      <c r="K465" s="3" t="s">
        <v>5</v>
      </c>
      <c r="L465" s="3" t="s">
        <v>97</v>
      </c>
      <c r="M465" s="4">
        <v>139999</v>
      </c>
      <c r="N465" s="5">
        <v>6.8</v>
      </c>
      <c r="O465" s="4">
        <f t="shared" si="14"/>
        <v>9519.9319999999989</v>
      </c>
      <c r="P465" s="4">
        <f t="shared" si="15"/>
        <v>130479.068</v>
      </c>
      <c r="Q465" s="3" t="s">
        <v>31</v>
      </c>
      <c r="R465" s="3" t="s">
        <v>67</v>
      </c>
      <c r="S465" s="3" t="s">
        <v>67</v>
      </c>
      <c r="T465" s="3" t="s">
        <v>26</v>
      </c>
    </row>
    <row r="466" spans="1:20" ht="15" customHeight="1" x14ac:dyDescent="0.3">
      <c r="A466" s="3" t="s">
        <v>1489</v>
      </c>
      <c r="B466" s="3" t="s">
        <v>938</v>
      </c>
      <c r="C466" s="3" t="s">
        <v>6</v>
      </c>
      <c r="D466" s="3" t="s">
        <v>1490</v>
      </c>
      <c r="E466" s="3" t="s">
        <v>1491</v>
      </c>
      <c r="F466" s="3" t="s">
        <v>145</v>
      </c>
      <c r="G466" s="3" t="s">
        <v>201</v>
      </c>
      <c r="H466" s="3" t="s">
        <v>19</v>
      </c>
      <c r="I466" s="3">
        <v>160</v>
      </c>
      <c r="J466" s="3" t="s">
        <v>96</v>
      </c>
      <c r="K466" s="3" t="s">
        <v>5</v>
      </c>
      <c r="L466" s="3" t="s">
        <v>66</v>
      </c>
      <c r="M466" s="4">
        <v>129900</v>
      </c>
      <c r="N466" s="5">
        <v>4.5999999999999996</v>
      </c>
      <c r="O466" s="4">
        <f t="shared" si="14"/>
        <v>5975.4</v>
      </c>
      <c r="P466" s="4">
        <f t="shared" si="15"/>
        <v>123924.6</v>
      </c>
      <c r="Q466" s="3" t="s">
        <v>25</v>
      </c>
      <c r="R466" s="3" t="s">
        <v>67</v>
      </c>
      <c r="S466" s="3" t="s">
        <v>67</v>
      </c>
      <c r="T466" s="3" t="s">
        <v>26</v>
      </c>
    </row>
    <row r="467" spans="1:20" ht="15" customHeight="1" x14ac:dyDescent="0.3">
      <c r="A467" s="3" t="s">
        <v>1492</v>
      </c>
      <c r="B467" s="3" t="s">
        <v>1023</v>
      </c>
      <c r="C467" s="3" t="s">
        <v>8</v>
      </c>
      <c r="D467" s="3" t="s">
        <v>1493</v>
      </c>
      <c r="E467" s="3" t="s">
        <v>1494</v>
      </c>
      <c r="F467" s="3" t="s">
        <v>145</v>
      </c>
      <c r="G467" s="3" t="s">
        <v>118</v>
      </c>
      <c r="H467" s="3" t="s">
        <v>20</v>
      </c>
      <c r="I467" s="3">
        <v>350</v>
      </c>
      <c r="J467" s="3" t="s">
        <v>96</v>
      </c>
      <c r="K467" s="3" t="s">
        <v>3</v>
      </c>
      <c r="L467" s="3" t="s">
        <v>97</v>
      </c>
      <c r="M467" s="4">
        <v>159900</v>
      </c>
      <c r="N467" s="5">
        <v>6.6</v>
      </c>
      <c r="O467" s="4">
        <f t="shared" si="14"/>
        <v>10553.4</v>
      </c>
      <c r="P467" s="4">
        <f t="shared" si="15"/>
        <v>149346.6</v>
      </c>
      <c r="Q467" s="3" t="s">
        <v>38</v>
      </c>
      <c r="R467" s="3" t="s">
        <v>68</v>
      </c>
      <c r="S467" s="3" t="s">
        <v>68</v>
      </c>
      <c r="T467" s="3" t="s">
        <v>29</v>
      </c>
    </row>
    <row r="468" spans="1:20" ht="15" customHeight="1" x14ac:dyDescent="0.3">
      <c r="A468" s="3" t="s">
        <v>1495</v>
      </c>
      <c r="B468" s="3" t="s">
        <v>1486</v>
      </c>
      <c r="C468" s="3" t="s">
        <v>16</v>
      </c>
      <c r="D468" s="3" t="s">
        <v>377</v>
      </c>
      <c r="E468" s="3" t="s">
        <v>1496</v>
      </c>
      <c r="F468" s="3" t="s">
        <v>124</v>
      </c>
      <c r="G468" s="3" t="s">
        <v>118</v>
      </c>
      <c r="H468" s="3" t="s">
        <v>20</v>
      </c>
      <c r="I468" s="3">
        <v>350</v>
      </c>
      <c r="J468" s="3" t="s">
        <v>89</v>
      </c>
      <c r="K468" s="3" t="s">
        <v>3</v>
      </c>
      <c r="L468" s="3" t="s">
        <v>103</v>
      </c>
      <c r="M468" s="4">
        <v>159900</v>
      </c>
      <c r="N468" s="5">
        <v>11</v>
      </c>
      <c r="O468" s="4">
        <f t="shared" si="14"/>
        <v>17589</v>
      </c>
      <c r="P468" s="4">
        <f t="shared" si="15"/>
        <v>142311</v>
      </c>
      <c r="Q468" s="3" t="s">
        <v>36</v>
      </c>
      <c r="R468" s="3" t="s">
        <v>67</v>
      </c>
      <c r="S468" s="3" t="s">
        <v>68</v>
      </c>
      <c r="T468" s="3" t="s">
        <v>26</v>
      </c>
    </row>
    <row r="469" spans="1:20" ht="15" customHeight="1" x14ac:dyDescent="0.3">
      <c r="A469" s="3" t="s">
        <v>1497</v>
      </c>
      <c r="B469" s="3" t="s">
        <v>528</v>
      </c>
      <c r="C469" s="3" t="s">
        <v>12</v>
      </c>
      <c r="D469" s="3" t="s">
        <v>1498</v>
      </c>
      <c r="E469" s="3" t="s">
        <v>1499</v>
      </c>
      <c r="F469" s="3" t="s">
        <v>134</v>
      </c>
      <c r="G469" s="3" t="s">
        <v>95</v>
      </c>
      <c r="H469" s="3" t="s">
        <v>22</v>
      </c>
      <c r="I469" s="3">
        <v>0</v>
      </c>
      <c r="J469" s="3" t="s">
        <v>81</v>
      </c>
      <c r="K469" s="3" t="s">
        <v>7</v>
      </c>
      <c r="L469" s="3" t="s">
        <v>136</v>
      </c>
      <c r="M469" s="4">
        <v>139999</v>
      </c>
      <c r="N469" s="5">
        <v>13.1</v>
      </c>
      <c r="O469" s="4">
        <f t="shared" si="14"/>
        <v>18339.868999999999</v>
      </c>
      <c r="P469" s="4">
        <f t="shared" si="15"/>
        <v>121659.13099999999</v>
      </c>
      <c r="Q469" s="3" t="s">
        <v>25</v>
      </c>
      <c r="R469" s="3" t="s">
        <v>67</v>
      </c>
      <c r="S469" s="3" t="s">
        <v>67</v>
      </c>
      <c r="T469" s="3" t="s">
        <v>26</v>
      </c>
    </row>
    <row r="470" spans="1:20" ht="15" customHeight="1" x14ac:dyDescent="0.3">
      <c r="A470" s="3" t="s">
        <v>1500</v>
      </c>
      <c r="B470" s="3" t="s">
        <v>406</v>
      </c>
      <c r="C470" s="3" t="s">
        <v>17</v>
      </c>
      <c r="D470" s="3" t="s">
        <v>538</v>
      </c>
      <c r="E470" s="3" t="s">
        <v>1501</v>
      </c>
      <c r="F470" s="3" t="s">
        <v>87</v>
      </c>
      <c r="G470" s="3" t="s">
        <v>169</v>
      </c>
      <c r="H470" s="3" t="s">
        <v>18</v>
      </c>
      <c r="I470" s="3">
        <v>162</v>
      </c>
      <c r="J470" s="3" t="s">
        <v>102</v>
      </c>
      <c r="K470" s="3" t="s">
        <v>5</v>
      </c>
      <c r="L470" s="3" t="s">
        <v>103</v>
      </c>
      <c r="M470" s="4">
        <v>124900</v>
      </c>
      <c r="N470" s="5">
        <v>14.8</v>
      </c>
      <c r="O470" s="4">
        <f t="shared" si="14"/>
        <v>18485.2</v>
      </c>
      <c r="P470" s="4">
        <f t="shared" si="15"/>
        <v>106414.8</v>
      </c>
      <c r="Q470" s="3" t="s">
        <v>28</v>
      </c>
      <c r="R470" s="3" t="s">
        <v>67</v>
      </c>
      <c r="S470" s="3" t="s">
        <v>67</v>
      </c>
      <c r="T470" s="3" t="s">
        <v>26</v>
      </c>
    </row>
    <row r="471" spans="1:20" ht="15" customHeight="1" x14ac:dyDescent="0.3">
      <c r="A471" s="3" t="s">
        <v>1502</v>
      </c>
      <c r="B471" s="3" t="s">
        <v>289</v>
      </c>
      <c r="C471" s="3" t="s">
        <v>4</v>
      </c>
      <c r="D471" s="3" t="s">
        <v>167</v>
      </c>
      <c r="E471" s="3" t="s">
        <v>1503</v>
      </c>
      <c r="F471" s="3" t="s">
        <v>87</v>
      </c>
      <c r="G471" s="3" t="s">
        <v>95</v>
      </c>
      <c r="H471" s="3" t="s">
        <v>22</v>
      </c>
      <c r="I471" s="3">
        <v>0</v>
      </c>
      <c r="J471" s="3" t="s">
        <v>164</v>
      </c>
      <c r="K471" s="3" t="s">
        <v>9</v>
      </c>
      <c r="L471" s="3" t="s">
        <v>82</v>
      </c>
      <c r="M471" s="4">
        <v>139999</v>
      </c>
      <c r="N471" s="5">
        <v>4.7</v>
      </c>
      <c r="O471" s="4">
        <f t="shared" si="14"/>
        <v>6579.9530000000004</v>
      </c>
      <c r="P471" s="4">
        <f t="shared" si="15"/>
        <v>133419.04699999999</v>
      </c>
      <c r="Q471" s="3" t="s">
        <v>31</v>
      </c>
      <c r="R471" s="3" t="s">
        <v>67</v>
      </c>
      <c r="S471" s="3" t="s">
        <v>68</v>
      </c>
      <c r="T471" s="3" t="s">
        <v>26</v>
      </c>
    </row>
    <row r="472" spans="1:20" ht="15" customHeight="1" x14ac:dyDescent="0.3">
      <c r="A472" s="3" t="s">
        <v>1504</v>
      </c>
      <c r="B472" s="3" t="s">
        <v>208</v>
      </c>
      <c r="C472" s="3" t="s">
        <v>2</v>
      </c>
      <c r="D472" s="3" t="s">
        <v>455</v>
      </c>
      <c r="E472" s="3" t="s">
        <v>1505</v>
      </c>
      <c r="F472" s="3" t="s">
        <v>145</v>
      </c>
      <c r="G472" s="3" t="s">
        <v>118</v>
      </c>
      <c r="H472" s="3" t="s">
        <v>20</v>
      </c>
      <c r="I472" s="3">
        <v>350</v>
      </c>
      <c r="J472" s="3" t="s">
        <v>96</v>
      </c>
      <c r="K472" s="3" t="s">
        <v>1</v>
      </c>
      <c r="L472" s="3" t="s">
        <v>90</v>
      </c>
      <c r="M472" s="4">
        <v>159900</v>
      </c>
      <c r="N472" s="5">
        <v>13.3</v>
      </c>
      <c r="O472" s="4">
        <f t="shared" si="14"/>
        <v>21266.7</v>
      </c>
      <c r="P472" s="4">
        <f t="shared" si="15"/>
        <v>138633.29999999999</v>
      </c>
      <c r="Q472" s="3" t="s">
        <v>28</v>
      </c>
      <c r="R472" s="3" t="s">
        <v>67</v>
      </c>
      <c r="S472" s="3" t="s">
        <v>68</v>
      </c>
      <c r="T472" s="3" t="s">
        <v>26</v>
      </c>
    </row>
    <row r="473" spans="1:20" ht="15" customHeight="1" x14ac:dyDescent="0.3">
      <c r="A473" s="3" t="s">
        <v>1506</v>
      </c>
      <c r="B473" s="3" t="s">
        <v>300</v>
      </c>
      <c r="C473" s="3" t="s">
        <v>12</v>
      </c>
      <c r="D473" s="3" t="s">
        <v>1507</v>
      </c>
      <c r="E473" s="3" t="s">
        <v>1508</v>
      </c>
      <c r="F473" s="3" t="s">
        <v>87</v>
      </c>
      <c r="G473" s="3" t="s">
        <v>201</v>
      </c>
      <c r="H473" s="3" t="s">
        <v>19</v>
      </c>
      <c r="I473" s="3">
        <v>160</v>
      </c>
      <c r="J473" s="3" t="s">
        <v>65</v>
      </c>
      <c r="K473" s="3" t="s">
        <v>11</v>
      </c>
      <c r="L473" s="3" t="s">
        <v>97</v>
      </c>
      <c r="M473" s="4">
        <v>129900</v>
      </c>
      <c r="N473" s="5">
        <v>6</v>
      </c>
      <c r="O473" s="4">
        <f t="shared" si="14"/>
        <v>7794</v>
      </c>
      <c r="P473" s="4">
        <f t="shared" si="15"/>
        <v>122106</v>
      </c>
      <c r="Q473" s="3" t="s">
        <v>31</v>
      </c>
      <c r="R473" s="3" t="s">
        <v>67</v>
      </c>
      <c r="S473" s="3" t="s">
        <v>68</v>
      </c>
      <c r="T473" s="3" t="s">
        <v>26</v>
      </c>
    </row>
    <row r="474" spans="1:20" ht="15" customHeight="1" x14ac:dyDescent="0.3">
      <c r="A474" s="3" t="s">
        <v>1509</v>
      </c>
      <c r="B474" s="3" t="s">
        <v>131</v>
      </c>
      <c r="C474" s="3" t="s">
        <v>15</v>
      </c>
      <c r="D474" s="3" t="s">
        <v>1244</v>
      </c>
      <c r="E474" s="3" t="s">
        <v>1510</v>
      </c>
      <c r="F474" s="3" t="s">
        <v>79</v>
      </c>
      <c r="G474" s="3" t="s">
        <v>169</v>
      </c>
      <c r="H474" s="3" t="s">
        <v>18</v>
      </c>
      <c r="I474" s="3">
        <v>162</v>
      </c>
      <c r="J474" s="3" t="s">
        <v>81</v>
      </c>
      <c r="K474" s="3" t="s">
        <v>3</v>
      </c>
      <c r="L474" s="3" t="s">
        <v>74</v>
      </c>
      <c r="M474" s="4">
        <v>124900</v>
      </c>
      <c r="N474" s="5">
        <v>4.9000000000000004</v>
      </c>
      <c r="O474" s="4">
        <f t="shared" si="14"/>
        <v>6120.1</v>
      </c>
      <c r="P474" s="4">
        <f t="shared" si="15"/>
        <v>118779.9</v>
      </c>
      <c r="Q474" s="3" t="s">
        <v>34</v>
      </c>
      <c r="R474" s="3" t="s">
        <v>67</v>
      </c>
      <c r="S474" s="3" t="s">
        <v>68</v>
      </c>
      <c r="T474" s="3" t="s">
        <v>26</v>
      </c>
    </row>
    <row r="475" spans="1:20" ht="15" customHeight="1" x14ac:dyDescent="0.3">
      <c r="A475" s="3" t="s">
        <v>1511</v>
      </c>
      <c r="B475" s="3" t="s">
        <v>92</v>
      </c>
      <c r="C475" s="3" t="s">
        <v>4</v>
      </c>
      <c r="D475" s="3" t="s">
        <v>93</v>
      </c>
      <c r="E475" s="3" t="s">
        <v>1512</v>
      </c>
      <c r="F475" s="3" t="s">
        <v>117</v>
      </c>
      <c r="G475" s="3" t="s">
        <v>201</v>
      </c>
      <c r="H475" s="3" t="s">
        <v>19</v>
      </c>
      <c r="I475" s="3">
        <v>160</v>
      </c>
      <c r="J475" s="3" t="s">
        <v>119</v>
      </c>
      <c r="K475" s="3" t="s">
        <v>5</v>
      </c>
      <c r="L475" s="3" t="s">
        <v>103</v>
      </c>
      <c r="M475" s="4">
        <v>129900</v>
      </c>
      <c r="N475" s="5">
        <v>3.6</v>
      </c>
      <c r="O475" s="4">
        <f t="shared" si="14"/>
        <v>4676.3999999999996</v>
      </c>
      <c r="P475" s="4">
        <f t="shared" si="15"/>
        <v>125223.6</v>
      </c>
      <c r="Q475" s="3" t="s">
        <v>25</v>
      </c>
      <c r="R475" s="3" t="s">
        <v>67</v>
      </c>
      <c r="S475" s="3" t="s">
        <v>67</v>
      </c>
      <c r="T475" s="3" t="s">
        <v>26</v>
      </c>
    </row>
    <row r="476" spans="1:20" ht="15" customHeight="1" x14ac:dyDescent="0.3">
      <c r="A476" s="3" t="s">
        <v>1513</v>
      </c>
      <c r="B476" s="3" t="s">
        <v>142</v>
      </c>
      <c r="C476" s="3" t="s">
        <v>10</v>
      </c>
      <c r="D476" s="3" t="s">
        <v>510</v>
      </c>
      <c r="E476" s="3" t="s">
        <v>1514</v>
      </c>
      <c r="F476" s="3" t="s">
        <v>87</v>
      </c>
      <c r="G476" s="3" t="s">
        <v>222</v>
      </c>
      <c r="H476" s="3" t="s">
        <v>19</v>
      </c>
      <c r="I476" s="3">
        <v>155</v>
      </c>
      <c r="J476" s="3" t="s">
        <v>96</v>
      </c>
      <c r="K476" s="3" t="s">
        <v>7</v>
      </c>
      <c r="L476" s="3" t="s">
        <v>103</v>
      </c>
      <c r="M476" s="4">
        <v>167900</v>
      </c>
      <c r="N476" s="5">
        <v>14</v>
      </c>
      <c r="O476" s="4">
        <f t="shared" si="14"/>
        <v>23506</v>
      </c>
      <c r="P476" s="4">
        <f t="shared" si="15"/>
        <v>144394</v>
      </c>
      <c r="Q476" s="3" t="s">
        <v>38</v>
      </c>
      <c r="R476" s="3" t="s">
        <v>67</v>
      </c>
      <c r="S476" s="3" t="s">
        <v>68</v>
      </c>
      <c r="T476" s="3" t="s">
        <v>26</v>
      </c>
    </row>
    <row r="477" spans="1:20" ht="15" customHeight="1" x14ac:dyDescent="0.3">
      <c r="A477" s="3" t="s">
        <v>1515</v>
      </c>
      <c r="B477" s="3" t="s">
        <v>639</v>
      </c>
      <c r="C477" s="3" t="s">
        <v>16</v>
      </c>
      <c r="D477" s="3" t="s">
        <v>1461</v>
      </c>
      <c r="E477" s="3" t="s">
        <v>1516</v>
      </c>
      <c r="F477" s="3" t="s">
        <v>117</v>
      </c>
      <c r="G477" s="3" t="s">
        <v>256</v>
      </c>
      <c r="H477" s="3" t="s">
        <v>21</v>
      </c>
      <c r="I477" s="3">
        <v>110</v>
      </c>
      <c r="J477" s="3" t="s">
        <v>102</v>
      </c>
      <c r="K477" s="3" t="s">
        <v>11</v>
      </c>
      <c r="L477" s="3" t="s">
        <v>90</v>
      </c>
      <c r="M477" s="4">
        <v>80900</v>
      </c>
      <c r="N477" s="5">
        <v>8.8000000000000007</v>
      </c>
      <c r="O477" s="4">
        <f t="shared" si="14"/>
        <v>7119.2</v>
      </c>
      <c r="P477" s="4">
        <f t="shared" si="15"/>
        <v>73780.800000000003</v>
      </c>
      <c r="Q477" s="3" t="s">
        <v>40</v>
      </c>
      <c r="R477" s="3" t="s">
        <v>68</v>
      </c>
      <c r="S477" s="3" t="s">
        <v>67</v>
      </c>
      <c r="T477" s="3" t="s">
        <v>26</v>
      </c>
    </row>
    <row r="478" spans="1:20" ht="15" customHeight="1" x14ac:dyDescent="0.3">
      <c r="A478" s="3" t="s">
        <v>1517</v>
      </c>
      <c r="B478" s="3" t="s">
        <v>1070</v>
      </c>
      <c r="C478" s="3" t="s">
        <v>0</v>
      </c>
      <c r="D478" s="3" t="s">
        <v>1399</v>
      </c>
      <c r="E478" s="3" t="s">
        <v>1518</v>
      </c>
      <c r="F478" s="3" t="s">
        <v>155</v>
      </c>
      <c r="G478" s="3" t="s">
        <v>189</v>
      </c>
      <c r="H478" s="3" t="s">
        <v>18</v>
      </c>
      <c r="I478" s="3">
        <v>100</v>
      </c>
      <c r="J478" s="3" t="s">
        <v>96</v>
      </c>
      <c r="K478" s="3" t="s">
        <v>11</v>
      </c>
      <c r="L478" s="3" t="s">
        <v>74</v>
      </c>
      <c r="M478" s="4">
        <v>72900</v>
      </c>
      <c r="N478" s="5">
        <v>9.1</v>
      </c>
      <c r="O478" s="4">
        <f t="shared" si="14"/>
        <v>6633.9</v>
      </c>
      <c r="P478" s="4">
        <f t="shared" si="15"/>
        <v>66266.100000000006</v>
      </c>
      <c r="Q478" s="3" t="s">
        <v>40</v>
      </c>
      <c r="R478" s="3" t="s">
        <v>68</v>
      </c>
      <c r="S478" s="3" t="s">
        <v>68</v>
      </c>
      <c r="T478" s="3" t="s">
        <v>26</v>
      </c>
    </row>
    <row r="479" spans="1:20" ht="15" customHeight="1" x14ac:dyDescent="0.3">
      <c r="A479" s="3" t="s">
        <v>1519</v>
      </c>
      <c r="B479" s="3" t="s">
        <v>166</v>
      </c>
      <c r="C479" s="3" t="s">
        <v>4</v>
      </c>
      <c r="D479" s="3" t="s">
        <v>1520</v>
      </c>
      <c r="E479" s="3" t="s">
        <v>1521</v>
      </c>
      <c r="F479" s="3" t="s">
        <v>174</v>
      </c>
      <c r="G479" s="3" t="s">
        <v>169</v>
      </c>
      <c r="H479" s="3" t="s">
        <v>18</v>
      </c>
      <c r="I479" s="3">
        <v>162</v>
      </c>
      <c r="J479" s="3" t="s">
        <v>89</v>
      </c>
      <c r="K479" s="3" t="s">
        <v>7</v>
      </c>
      <c r="L479" s="3" t="s">
        <v>136</v>
      </c>
      <c r="M479" s="4">
        <v>124900</v>
      </c>
      <c r="N479" s="5">
        <v>10.7</v>
      </c>
      <c r="O479" s="4">
        <f t="shared" si="14"/>
        <v>13364.3</v>
      </c>
      <c r="P479" s="4">
        <f t="shared" si="15"/>
        <v>111535.7</v>
      </c>
      <c r="Q479" s="3" t="s">
        <v>36</v>
      </c>
      <c r="R479" s="3" t="s">
        <v>68</v>
      </c>
      <c r="S479" s="3" t="s">
        <v>68</v>
      </c>
      <c r="T479" s="3" t="s">
        <v>26</v>
      </c>
    </row>
    <row r="480" spans="1:20" ht="15" customHeight="1" x14ac:dyDescent="0.3">
      <c r="A480" s="3" t="s">
        <v>1522</v>
      </c>
      <c r="B480" s="3" t="s">
        <v>171</v>
      </c>
      <c r="C480" s="3" t="s">
        <v>12</v>
      </c>
      <c r="D480" s="3" t="s">
        <v>1523</v>
      </c>
      <c r="E480" s="3" t="s">
        <v>1524</v>
      </c>
      <c r="F480" s="3" t="s">
        <v>63</v>
      </c>
      <c r="G480" s="3" t="s">
        <v>184</v>
      </c>
      <c r="H480" s="3" t="s">
        <v>18</v>
      </c>
      <c r="I480" s="3">
        <v>125</v>
      </c>
      <c r="J480" s="3" t="s">
        <v>89</v>
      </c>
      <c r="K480" s="3" t="s">
        <v>7</v>
      </c>
      <c r="L480" s="3" t="s">
        <v>90</v>
      </c>
      <c r="M480" s="4">
        <v>79900</v>
      </c>
      <c r="N480" s="5">
        <v>14.6</v>
      </c>
      <c r="O480" s="4">
        <f t="shared" si="14"/>
        <v>11665.4</v>
      </c>
      <c r="P480" s="4">
        <f t="shared" si="15"/>
        <v>68234.600000000006</v>
      </c>
      <c r="Q480" s="3" t="s">
        <v>36</v>
      </c>
      <c r="R480" s="3" t="s">
        <v>68</v>
      </c>
      <c r="S480" s="3" t="s">
        <v>67</v>
      </c>
      <c r="T480" s="3" t="s">
        <v>29</v>
      </c>
    </row>
    <row r="481" spans="1:20" ht="15" customHeight="1" x14ac:dyDescent="0.3">
      <c r="A481" s="3" t="s">
        <v>1525</v>
      </c>
      <c r="B481" s="3" t="s">
        <v>203</v>
      </c>
      <c r="C481" s="3" t="s">
        <v>10</v>
      </c>
      <c r="D481" s="3" t="s">
        <v>1127</v>
      </c>
      <c r="E481" s="3" t="s">
        <v>1526</v>
      </c>
      <c r="F481" s="3" t="s">
        <v>63</v>
      </c>
      <c r="G481" s="3" t="s">
        <v>169</v>
      </c>
      <c r="H481" s="3" t="s">
        <v>18</v>
      </c>
      <c r="I481" s="3">
        <v>162</v>
      </c>
      <c r="J481" s="3" t="s">
        <v>81</v>
      </c>
      <c r="K481" s="3" t="s">
        <v>9</v>
      </c>
      <c r="L481" s="3" t="s">
        <v>74</v>
      </c>
      <c r="M481" s="4">
        <v>124900</v>
      </c>
      <c r="N481" s="5">
        <v>4.2</v>
      </c>
      <c r="O481" s="4">
        <f t="shared" si="14"/>
        <v>5245.8</v>
      </c>
      <c r="P481" s="4">
        <f t="shared" si="15"/>
        <v>119654.2</v>
      </c>
      <c r="Q481" s="3" t="s">
        <v>25</v>
      </c>
      <c r="R481" s="3" t="s">
        <v>68</v>
      </c>
      <c r="S481" s="3" t="s">
        <v>68</v>
      </c>
      <c r="T481" s="3" t="s">
        <v>26</v>
      </c>
    </row>
    <row r="482" spans="1:20" ht="15" customHeight="1" x14ac:dyDescent="0.3">
      <c r="A482" s="3" t="s">
        <v>1527</v>
      </c>
      <c r="B482" s="3" t="s">
        <v>99</v>
      </c>
      <c r="C482" s="3" t="s">
        <v>13</v>
      </c>
      <c r="D482" s="3" t="s">
        <v>1528</v>
      </c>
      <c r="E482" s="3" t="s">
        <v>1529</v>
      </c>
      <c r="F482" s="3" t="s">
        <v>79</v>
      </c>
      <c r="G482" s="3" t="s">
        <v>169</v>
      </c>
      <c r="H482" s="3" t="s">
        <v>18</v>
      </c>
      <c r="I482" s="3">
        <v>162</v>
      </c>
      <c r="J482" s="3" t="s">
        <v>243</v>
      </c>
      <c r="K482" s="3" t="s">
        <v>1</v>
      </c>
      <c r="L482" s="3" t="s">
        <v>74</v>
      </c>
      <c r="M482" s="4">
        <v>124900</v>
      </c>
      <c r="N482" s="5">
        <v>11</v>
      </c>
      <c r="O482" s="4">
        <f t="shared" si="14"/>
        <v>13739</v>
      </c>
      <c r="P482" s="4">
        <f t="shared" si="15"/>
        <v>111161</v>
      </c>
      <c r="Q482" s="3" t="s">
        <v>40</v>
      </c>
      <c r="R482" s="3" t="s">
        <v>67</v>
      </c>
      <c r="S482" s="3" t="s">
        <v>67</v>
      </c>
      <c r="T482" s="3" t="s">
        <v>26</v>
      </c>
    </row>
    <row r="483" spans="1:20" ht="15" customHeight="1" x14ac:dyDescent="0.3">
      <c r="A483" s="3" t="s">
        <v>1530</v>
      </c>
      <c r="B483" s="3" t="s">
        <v>847</v>
      </c>
      <c r="C483" s="3" t="s">
        <v>13</v>
      </c>
      <c r="D483" s="3" t="s">
        <v>479</v>
      </c>
      <c r="E483" s="3" t="s">
        <v>1531</v>
      </c>
      <c r="F483" s="3" t="s">
        <v>63</v>
      </c>
      <c r="G483" s="3" t="s">
        <v>80</v>
      </c>
      <c r="H483" s="3" t="s">
        <v>22</v>
      </c>
      <c r="I483" s="3">
        <v>0</v>
      </c>
      <c r="J483" s="3" t="s">
        <v>65</v>
      </c>
      <c r="K483" s="3" t="s">
        <v>9</v>
      </c>
      <c r="L483" s="3" t="s">
        <v>136</v>
      </c>
      <c r="M483" s="4">
        <v>145000</v>
      </c>
      <c r="N483" s="5">
        <v>7</v>
      </c>
      <c r="O483" s="4">
        <f t="shared" si="14"/>
        <v>10150</v>
      </c>
      <c r="P483" s="4">
        <f t="shared" si="15"/>
        <v>134850</v>
      </c>
      <c r="Q483" s="3" t="s">
        <v>36</v>
      </c>
      <c r="R483" s="3" t="s">
        <v>67</v>
      </c>
      <c r="S483" s="3" t="s">
        <v>67</v>
      </c>
      <c r="T483" s="3" t="s">
        <v>29</v>
      </c>
    </row>
    <row r="484" spans="1:20" ht="15" customHeight="1" x14ac:dyDescent="0.3">
      <c r="A484" s="3" t="s">
        <v>1532</v>
      </c>
      <c r="B484" s="3" t="s">
        <v>158</v>
      </c>
      <c r="C484" s="3" t="s">
        <v>16</v>
      </c>
      <c r="D484" s="3" t="s">
        <v>1533</v>
      </c>
      <c r="E484" s="3" t="s">
        <v>1534</v>
      </c>
      <c r="F484" s="3" t="s">
        <v>79</v>
      </c>
      <c r="G484" s="3" t="s">
        <v>211</v>
      </c>
      <c r="H484" s="3" t="s">
        <v>20</v>
      </c>
      <c r="I484" s="3">
        <v>350</v>
      </c>
      <c r="J484" s="3" t="s">
        <v>65</v>
      </c>
      <c r="K484" s="3" t="s">
        <v>11</v>
      </c>
      <c r="L484" s="3" t="s">
        <v>90</v>
      </c>
      <c r="M484" s="4">
        <v>199900</v>
      </c>
      <c r="N484" s="5">
        <v>6.6</v>
      </c>
      <c r="O484" s="4">
        <f t="shared" si="14"/>
        <v>13193.4</v>
      </c>
      <c r="P484" s="4">
        <f t="shared" si="15"/>
        <v>186706.6</v>
      </c>
      <c r="Q484" s="3" t="s">
        <v>38</v>
      </c>
      <c r="R484" s="3" t="s">
        <v>68</v>
      </c>
      <c r="S484" s="3" t="s">
        <v>67</v>
      </c>
      <c r="T484" s="3" t="s">
        <v>26</v>
      </c>
    </row>
    <row r="485" spans="1:20" ht="15" customHeight="1" x14ac:dyDescent="0.3">
      <c r="A485" s="3" t="s">
        <v>1535</v>
      </c>
      <c r="B485" s="3" t="s">
        <v>1070</v>
      </c>
      <c r="C485" s="3" t="s">
        <v>0</v>
      </c>
      <c r="D485" s="3" t="s">
        <v>388</v>
      </c>
      <c r="E485" s="3" t="s">
        <v>1536</v>
      </c>
      <c r="F485" s="3" t="s">
        <v>155</v>
      </c>
      <c r="G485" s="3" t="s">
        <v>324</v>
      </c>
      <c r="H485" s="3" t="s">
        <v>19</v>
      </c>
      <c r="I485" s="3">
        <v>149</v>
      </c>
      <c r="J485" s="3" t="s">
        <v>243</v>
      </c>
      <c r="K485" s="3" t="s">
        <v>3</v>
      </c>
      <c r="L485" s="3" t="s">
        <v>74</v>
      </c>
      <c r="M485" s="4">
        <v>119900</v>
      </c>
      <c r="N485" s="5">
        <v>13</v>
      </c>
      <c r="O485" s="4">
        <f t="shared" si="14"/>
        <v>15587</v>
      </c>
      <c r="P485" s="4">
        <f t="shared" si="15"/>
        <v>104313</v>
      </c>
      <c r="Q485" s="3" t="s">
        <v>28</v>
      </c>
      <c r="R485" s="3" t="s">
        <v>67</v>
      </c>
      <c r="S485" s="3" t="s">
        <v>67</v>
      </c>
      <c r="T485" s="3" t="s">
        <v>32</v>
      </c>
    </row>
    <row r="486" spans="1:20" ht="15" customHeight="1" x14ac:dyDescent="0.3">
      <c r="A486" s="3" t="s">
        <v>1537</v>
      </c>
      <c r="B486" s="3" t="s">
        <v>304</v>
      </c>
      <c r="C486" s="3" t="s">
        <v>2</v>
      </c>
      <c r="D486" s="3" t="s">
        <v>1441</v>
      </c>
      <c r="E486" s="3" t="s">
        <v>1538</v>
      </c>
      <c r="F486" s="3" t="s">
        <v>117</v>
      </c>
      <c r="G486" s="3" t="s">
        <v>211</v>
      </c>
      <c r="H486" s="3" t="s">
        <v>20</v>
      </c>
      <c r="I486" s="3">
        <v>350</v>
      </c>
      <c r="J486" s="3" t="s">
        <v>96</v>
      </c>
      <c r="K486" s="3" t="s">
        <v>3</v>
      </c>
      <c r="L486" s="3" t="s">
        <v>206</v>
      </c>
      <c r="M486" s="4">
        <v>199900</v>
      </c>
      <c r="N486" s="5">
        <v>14.2</v>
      </c>
      <c r="O486" s="4">
        <f t="shared" si="14"/>
        <v>28385.8</v>
      </c>
      <c r="P486" s="4">
        <f t="shared" si="15"/>
        <v>171514.2</v>
      </c>
      <c r="Q486" s="3" t="s">
        <v>40</v>
      </c>
      <c r="R486" s="3" t="s">
        <v>68</v>
      </c>
      <c r="S486" s="3" t="s">
        <v>67</v>
      </c>
      <c r="T486" s="3" t="s">
        <v>26</v>
      </c>
    </row>
    <row r="487" spans="1:20" ht="15" customHeight="1" x14ac:dyDescent="0.3">
      <c r="A487" s="3" t="s">
        <v>1539</v>
      </c>
      <c r="B487" s="3" t="s">
        <v>564</v>
      </c>
      <c r="C487" s="3" t="s">
        <v>13</v>
      </c>
      <c r="D487" s="3" t="s">
        <v>1540</v>
      </c>
      <c r="E487" s="3" t="s">
        <v>1541</v>
      </c>
      <c r="F487" s="3" t="s">
        <v>124</v>
      </c>
      <c r="G487" s="3" t="s">
        <v>88</v>
      </c>
      <c r="H487" s="3" t="s">
        <v>18</v>
      </c>
      <c r="I487" s="3">
        <v>125</v>
      </c>
      <c r="J487" s="3" t="s">
        <v>164</v>
      </c>
      <c r="K487" s="3" t="s">
        <v>5</v>
      </c>
      <c r="L487" s="3" t="s">
        <v>103</v>
      </c>
      <c r="M487" s="4">
        <v>94900</v>
      </c>
      <c r="N487" s="5">
        <v>3.9</v>
      </c>
      <c r="O487" s="4">
        <f t="shared" si="14"/>
        <v>3701.1</v>
      </c>
      <c r="P487" s="4">
        <f t="shared" si="15"/>
        <v>91198.9</v>
      </c>
      <c r="Q487" s="3" t="s">
        <v>36</v>
      </c>
      <c r="R487" s="3" t="s">
        <v>67</v>
      </c>
      <c r="S487" s="3" t="s">
        <v>68</v>
      </c>
      <c r="T487" s="3" t="s">
        <v>26</v>
      </c>
    </row>
    <row r="488" spans="1:20" ht="15" customHeight="1" x14ac:dyDescent="0.3">
      <c r="A488" s="3" t="s">
        <v>1542</v>
      </c>
      <c r="B488" s="3" t="s">
        <v>1067</v>
      </c>
      <c r="C488" s="3" t="s">
        <v>17</v>
      </c>
      <c r="D488" s="3" t="s">
        <v>1167</v>
      </c>
      <c r="E488" s="3" t="s">
        <v>1543</v>
      </c>
      <c r="F488" s="3" t="s">
        <v>134</v>
      </c>
      <c r="G488" s="3" t="s">
        <v>211</v>
      </c>
      <c r="H488" s="3" t="s">
        <v>20</v>
      </c>
      <c r="I488" s="3">
        <v>350</v>
      </c>
      <c r="J488" s="3" t="s">
        <v>96</v>
      </c>
      <c r="K488" s="3" t="s">
        <v>1</v>
      </c>
      <c r="L488" s="3" t="s">
        <v>66</v>
      </c>
      <c r="M488" s="4">
        <v>199900</v>
      </c>
      <c r="N488" s="5">
        <v>13.6</v>
      </c>
      <c r="O488" s="4">
        <f t="shared" si="14"/>
        <v>27186.400000000001</v>
      </c>
      <c r="P488" s="4">
        <f t="shared" si="15"/>
        <v>172713.60000000001</v>
      </c>
      <c r="Q488" s="3" t="s">
        <v>25</v>
      </c>
      <c r="R488" s="3" t="s">
        <v>67</v>
      </c>
      <c r="S488" s="3" t="s">
        <v>68</v>
      </c>
      <c r="T488" s="3" t="s">
        <v>26</v>
      </c>
    </row>
    <row r="489" spans="1:20" ht="15" customHeight="1" x14ac:dyDescent="0.3">
      <c r="A489" s="3" t="s">
        <v>1544</v>
      </c>
      <c r="B489" s="3" t="s">
        <v>579</v>
      </c>
      <c r="C489" s="3" t="s">
        <v>0</v>
      </c>
      <c r="D489" s="3" t="s">
        <v>1545</v>
      </c>
      <c r="E489" s="3" t="s">
        <v>1546</v>
      </c>
      <c r="F489" s="3" t="s">
        <v>134</v>
      </c>
      <c r="G489" s="3" t="s">
        <v>95</v>
      </c>
      <c r="H489" s="3" t="s">
        <v>22</v>
      </c>
      <c r="I489" s="3">
        <v>0</v>
      </c>
      <c r="J489" s="3" t="s">
        <v>179</v>
      </c>
      <c r="K489" s="3" t="s">
        <v>3</v>
      </c>
      <c r="L489" s="3" t="s">
        <v>103</v>
      </c>
      <c r="M489" s="4">
        <v>139999</v>
      </c>
      <c r="N489" s="5">
        <v>11.5</v>
      </c>
      <c r="O489" s="4">
        <f t="shared" si="14"/>
        <v>16099.885</v>
      </c>
      <c r="P489" s="4">
        <f t="shared" si="15"/>
        <v>123899.11500000001</v>
      </c>
      <c r="Q489" s="3" t="s">
        <v>40</v>
      </c>
      <c r="R489" s="3" t="s">
        <v>67</v>
      </c>
      <c r="S489" s="3" t="s">
        <v>67</v>
      </c>
      <c r="T489" s="3" t="s">
        <v>26</v>
      </c>
    </row>
    <row r="490" spans="1:20" ht="15" customHeight="1" x14ac:dyDescent="0.3">
      <c r="A490" s="3" t="s">
        <v>1547</v>
      </c>
      <c r="B490" s="3" t="s">
        <v>293</v>
      </c>
      <c r="C490" s="3" t="s">
        <v>16</v>
      </c>
      <c r="D490" s="3" t="s">
        <v>1425</v>
      </c>
      <c r="E490" s="3" t="s">
        <v>1548</v>
      </c>
      <c r="F490" s="3" t="s">
        <v>112</v>
      </c>
      <c r="G490" s="3" t="s">
        <v>211</v>
      </c>
      <c r="H490" s="3" t="s">
        <v>20</v>
      </c>
      <c r="I490" s="3">
        <v>350</v>
      </c>
      <c r="J490" s="3" t="s">
        <v>65</v>
      </c>
      <c r="K490" s="3" t="s">
        <v>5</v>
      </c>
      <c r="L490" s="3" t="s">
        <v>82</v>
      </c>
      <c r="M490" s="4">
        <v>199900</v>
      </c>
      <c r="N490" s="5">
        <v>5.9</v>
      </c>
      <c r="O490" s="4">
        <f t="shared" si="14"/>
        <v>11794.1</v>
      </c>
      <c r="P490" s="4">
        <f t="shared" si="15"/>
        <v>188105.9</v>
      </c>
      <c r="Q490" s="3" t="s">
        <v>28</v>
      </c>
      <c r="R490" s="3" t="s">
        <v>68</v>
      </c>
      <c r="S490" s="3" t="s">
        <v>67</v>
      </c>
      <c r="T490" s="3" t="s">
        <v>26</v>
      </c>
    </row>
    <row r="491" spans="1:20" ht="15" customHeight="1" x14ac:dyDescent="0.3">
      <c r="A491" s="3" t="s">
        <v>1549</v>
      </c>
      <c r="B491" s="3" t="s">
        <v>213</v>
      </c>
      <c r="C491" s="3" t="s">
        <v>8</v>
      </c>
      <c r="D491" s="3" t="s">
        <v>1550</v>
      </c>
      <c r="E491" s="3" t="s">
        <v>1551</v>
      </c>
      <c r="F491" s="3" t="s">
        <v>87</v>
      </c>
      <c r="G491" s="3" t="s">
        <v>88</v>
      </c>
      <c r="H491" s="3" t="s">
        <v>18</v>
      </c>
      <c r="I491" s="3">
        <v>125</v>
      </c>
      <c r="J491" s="3" t="s">
        <v>179</v>
      </c>
      <c r="K491" s="3" t="s">
        <v>7</v>
      </c>
      <c r="L491" s="3" t="s">
        <v>97</v>
      </c>
      <c r="M491" s="4">
        <v>94900</v>
      </c>
      <c r="N491" s="5">
        <v>4.0999999999999996</v>
      </c>
      <c r="O491" s="4">
        <f t="shared" si="14"/>
        <v>3890.8999999999996</v>
      </c>
      <c r="P491" s="4">
        <f t="shared" si="15"/>
        <v>91009.1</v>
      </c>
      <c r="Q491" s="3" t="s">
        <v>28</v>
      </c>
      <c r="R491" s="3" t="s">
        <v>67</v>
      </c>
      <c r="S491" s="3" t="s">
        <v>68</v>
      </c>
      <c r="T491" s="3" t="s">
        <v>26</v>
      </c>
    </row>
    <row r="492" spans="1:20" ht="15" customHeight="1" x14ac:dyDescent="0.3">
      <c r="A492" s="3" t="s">
        <v>1552</v>
      </c>
      <c r="B492" s="3" t="s">
        <v>362</v>
      </c>
      <c r="C492" s="3" t="s">
        <v>2</v>
      </c>
      <c r="D492" s="3" t="s">
        <v>1553</v>
      </c>
      <c r="E492" s="3" t="s">
        <v>1554</v>
      </c>
      <c r="F492" s="3" t="s">
        <v>145</v>
      </c>
      <c r="G492" s="3" t="s">
        <v>222</v>
      </c>
      <c r="H492" s="3" t="s">
        <v>19</v>
      </c>
      <c r="I492" s="3">
        <v>155</v>
      </c>
      <c r="J492" s="3" t="s">
        <v>129</v>
      </c>
      <c r="K492" s="3" t="s">
        <v>7</v>
      </c>
      <c r="L492" s="3" t="s">
        <v>90</v>
      </c>
      <c r="M492" s="4">
        <v>167900</v>
      </c>
      <c r="N492" s="5">
        <v>4.4000000000000004</v>
      </c>
      <c r="O492" s="4">
        <f t="shared" si="14"/>
        <v>7387.6000000000013</v>
      </c>
      <c r="P492" s="4">
        <f t="shared" si="15"/>
        <v>160512.4</v>
      </c>
      <c r="Q492" s="3" t="s">
        <v>28</v>
      </c>
      <c r="R492" s="3" t="s">
        <v>67</v>
      </c>
      <c r="S492" s="3" t="s">
        <v>68</v>
      </c>
      <c r="T492" s="3" t="s">
        <v>26</v>
      </c>
    </row>
    <row r="493" spans="1:20" ht="15" customHeight="1" x14ac:dyDescent="0.3">
      <c r="A493" s="3" t="s">
        <v>1555</v>
      </c>
      <c r="B493" s="3" t="s">
        <v>713</v>
      </c>
      <c r="C493" s="3" t="s">
        <v>15</v>
      </c>
      <c r="D493" s="3" t="s">
        <v>1556</v>
      </c>
      <c r="E493" s="3" t="s">
        <v>1557</v>
      </c>
      <c r="F493" s="3" t="s">
        <v>112</v>
      </c>
      <c r="G493" s="3" t="s">
        <v>118</v>
      </c>
      <c r="H493" s="3" t="s">
        <v>20</v>
      </c>
      <c r="I493" s="3">
        <v>350</v>
      </c>
      <c r="J493" s="3" t="s">
        <v>164</v>
      </c>
      <c r="K493" s="3" t="s">
        <v>5</v>
      </c>
      <c r="L493" s="3" t="s">
        <v>74</v>
      </c>
      <c r="M493" s="4">
        <v>159900</v>
      </c>
      <c r="N493" s="5">
        <v>6.4</v>
      </c>
      <c r="O493" s="4">
        <f t="shared" si="14"/>
        <v>10233.6</v>
      </c>
      <c r="P493" s="4">
        <f t="shared" si="15"/>
        <v>149666.4</v>
      </c>
      <c r="Q493" s="3" t="s">
        <v>31</v>
      </c>
      <c r="R493" s="3" t="s">
        <v>68</v>
      </c>
      <c r="S493" s="3" t="s">
        <v>68</v>
      </c>
      <c r="T493" s="3" t="s">
        <v>29</v>
      </c>
    </row>
    <row r="494" spans="1:20" ht="15" customHeight="1" x14ac:dyDescent="0.3">
      <c r="A494" s="3" t="s">
        <v>1558</v>
      </c>
      <c r="B494" s="3" t="s">
        <v>261</v>
      </c>
      <c r="C494" s="3" t="s">
        <v>13</v>
      </c>
      <c r="D494" s="3" t="s">
        <v>1559</v>
      </c>
      <c r="E494" s="3" t="s">
        <v>1560</v>
      </c>
      <c r="F494" s="3" t="s">
        <v>79</v>
      </c>
      <c r="G494" s="3" t="s">
        <v>316</v>
      </c>
      <c r="H494" s="3" t="s">
        <v>19</v>
      </c>
      <c r="I494" s="3">
        <v>150</v>
      </c>
      <c r="J494" s="3" t="s">
        <v>164</v>
      </c>
      <c r="K494" s="3" t="s">
        <v>7</v>
      </c>
      <c r="L494" s="3" t="s">
        <v>97</v>
      </c>
      <c r="M494" s="4">
        <v>109900</v>
      </c>
      <c r="N494" s="5">
        <v>9.8000000000000007</v>
      </c>
      <c r="O494" s="4">
        <f t="shared" si="14"/>
        <v>10770.2</v>
      </c>
      <c r="P494" s="4">
        <f t="shared" si="15"/>
        <v>99129.8</v>
      </c>
      <c r="Q494" s="3" t="s">
        <v>31</v>
      </c>
      <c r="R494" s="3" t="s">
        <v>67</v>
      </c>
      <c r="S494" s="3" t="s">
        <v>68</v>
      </c>
      <c r="T494" s="3" t="s">
        <v>29</v>
      </c>
    </row>
    <row r="495" spans="1:20" ht="15" customHeight="1" x14ac:dyDescent="0.3">
      <c r="A495" s="3" t="s">
        <v>1561</v>
      </c>
      <c r="B495" s="3" t="s">
        <v>276</v>
      </c>
      <c r="C495" s="3" t="s">
        <v>12</v>
      </c>
      <c r="D495" s="3" t="s">
        <v>1562</v>
      </c>
      <c r="E495" s="3" t="s">
        <v>1563</v>
      </c>
      <c r="F495" s="3" t="s">
        <v>112</v>
      </c>
      <c r="G495" s="3" t="s">
        <v>146</v>
      </c>
      <c r="H495" s="3" t="s">
        <v>18</v>
      </c>
      <c r="I495" s="3">
        <v>110</v>
      </c>
      <c r="J495" s="3" t="s">
        <v>89</v>
      </c>
      <c r="K495" s="3" t="s">
        <v>3</v>
      </c>
      <c r="L495" s="3" t="s">
        <v>136</v>
      </c>
      <c r="M495" s="4">
        <v>74900</v>
      </c>
      <c r="N495" s="5">
        <v>8.8000000000000007</v>
      </c>
      <c r="O495" s="4">
        <f t="shared" si="14"/>
        <v>6591.2</v>
      </c>
      <c r="P495" s="4">
        <f t="shared" si="15"/>
        <v>68308.800000000003</v>
      </c>
      <c r="Q495" s="3" t="s">
        <v>38</v>
      </c>
      <c r="R495" s="3" t="s">
        <v>67</v>
      </c>
      <c r="S495" s="3" t="s">
        <v>68</v>
      </c>
      <c r="T495" s="3" t="s">
        <v>29</v>
      </c>
    </row>
    <row r="496" spans="1:20" ht="15" customHeight="1" x14ac:dyDescent="0.3">
      <c r="A496" s="3" t="s">
        <v>1564</v>
      </c>
      <c r="B496" s="3" t="s">
        <v>70</v>
      </c>
      <c r="C496" s="3" t="s">
        <v>2</v>
      </c>
      <c r="D496" s="3" t="s">
        <v>1553</v>
      </c>
      <c r="E496" s="3" t="s">
        <v>1565</v>
      </c>
      <c r="F496" s="3" t="s">
        <v>174</v>
      </c>
      <c r="G496" s="3" t="s">
        <v>201</v>
      </c>
      <c r="H496" s="3" t="s">
        <v>19</v>
      </c>
      <c r="I496" s="3">
        <v>160</v>
      </c>
      <c r="J496" s="3" t="s">
        <v>81</v>
      </c>
      <c r="K496" s="3" t="s">
        <v>3</v>
      </c>
      <c r="L496" s="3" t="s">
        <v>206</v>
      </c>
      <c r="M496" s="4">
        <v>129900</v>
      </c>
      <c r="N496" s="5">
        <v>6.9</v>
      </c>
      <c r="O496" s="4">
        <f t="shared" si="14"/>
        <v>8963.1</v>
      </c>
      <c r="P496" s="4">
        <f t="shared" si="15"/>
        <v>120936.9</v>
      </c>
      <c r="Q496" s="3" t="s">
        <v>34</v>
      </c>
      <c r="R496" s="3" t="s">
        <v>67</v>
      </c>
      <c r="S496" s="3" t="s">
        <v>68</v>
      </c>
      <c r="T496" s="3" t="s">
        <v>32</v>
      </c>
    </row>
    <row r="497" spans="1:20" ht="15" customHeight="1" x14ac:dyDescent="0.3">
      <c r="A497" s="3" t="s">
        <v>1566</v>
      </c>
      <c r="B497" s="3" t="s">
        <v>421</v>
      </c>
      <c r="C497" s="3" t="s">
        <v>15</v>
      </c>
      <c r="D497" s="3" t="s">
        <v>1170</v>
      </c>
      <c r="E497" s="3" t="s">
        <v>1567</v>
      </c>
      <c r="F497" s="3" t="s">
        <v>155</v>
      </c>
      <c r="G497" s="3" t="s">
        <v>201</v>
      </c>
      <c r="H497" s="3" t="s">
        <v>19</v>
      </c>
      <c r="I497" s="3">
        <v>160</v>
      </c>
      <c r="J497" s="3" t="s">
        <v>129</v>
      </c>
      <c r="K497" s="3" t="s">
        <v>5</v>
      </c>
      <c r="L497" s="3" t="s">
        <v>90</v>
      </c>
      <c r="M497" s="4">
        <v>129900</v>
      </c>
      <c r="N497" s="5">
        <v>7.5</v>
      </c>
      <c r="O497" s="4">
        <f t="shared" si="14"/>
        <v>9742.5</v>
      </c>
      <c r="P497" s="4">
        <f t="shared" si="15"/>
        <v>120157.5</v>
      </c>
      <c r="Q497" s="3" t="s">
        <v>34</v>
      </c>
      <c r="R497" s="3" t="s">
        <v>67</v>
      </c>
      <c r="S497" s="3" t="s">
        <v>68</v>
      </c>
      <c r="T497" s="3" t="s">
        <v>26</v>
      </c>
    </row>
    <row r="498" spans="1:20" ht="15" customHeight="1" x14ac:dyDescent="0.3">
      <c r="A498" s="3" t="s">
        <v>1568</v>
      </c>
      <c r="B498" s="3" t="s">
        <v>171</v>
      </c>
      <c r="C498" s="3" t="s">
        <v>12</v>
      </c>
      <c r="D498" s="3" t="s">
        <v>1190</v>
      </c>
      <c r="E498" s="3" t="s">
        <v>1569</v>
      </c>
      <c r="F498" s="3" t="s">
        <v>174</v>
      </c>
      <c r="G498" s="3" t="s">
        <v>118</v>
      </c>
      <c r="H498" s="3" t="s">
        <v>20</v>
      </c>
      <c r="I498" s="3">
        <v>350</v>
      </c>
      <c r="J498" s="3" t="s">
        <v>119</v>
      </c>
      <c r="K498" s="3" t="s">
        <v>7</v>
      </c>
      <c r="L498" s="3" t="s">
        <v>103</v>
      </c>
      <c r="M498" s="4">
        <v>159900</v>
      </c>
      <c r="N498" s="5">
        <v>9.9</v>
      </c>
      <c r="O498" s="4">
        <f t="shared" si="14"/>
        <v>15830.1</v>
      </c>
      <c r="P498" s="4">
        <f t="shared" si="15"/>
        <v>144069.9</v>
      </c>
      <c r="Q498" s="3" t="s">
        <v>31</v>
      </c>
      <c r="R498" s="3" t="s">
        <v>67</v>
      </c>
      <c r="S498" s="3" t="s">
        <v>67</v>
      </c>
      <c r="T498" s="3" t="s">
        <v>29</v>
      </c>
    </row>
    <row r="499" spans="1:20" ht="15" customHeight="1" x14ac:dyDescent="0.3">
      <c r="A499" s="3" t="s">
        <v>1570</v>
      </c>
      <c r="B499" s="3" t="s">
        <v>276</v>
      </c>
      <c r="C499" s="3" t="s">
        <v>12</v>
      </c>
      <c r="D499" s="3" t="s">
        <v>1571</v>
      </c>
      <c r="E499" s="3" t="s">
        <v>1572</v>
      </c>
      <c r="F499" s="3" t="s">
        <v>63</v>
      </c>
      <c r="G499" s="3" t="s">
        <v>222</v>
      </c>
      <c r="H499" s="3" t="s">
        <v>19</v>
      </c>
      <c r="I499" s="3">
        <v>155</v>
      </c>
      <c r="J499" s="3" t="s">
        <v>89</v>
      </c>
      <c r="K499" s="3" t="s">
        <v>11</v>
      </c>
      <c r="L499" s="3" t="s">
        <v>103</v>
      </c>
      <c r="M499" s="4">
        <v>167900</v>
      </c>
      <c r="N499" s="5">
        <v>9.8000000000000007</v>
      </c>
      <c r="O499" s="4">
        <f t="shared" si="14"/>
        <v>16454.2</v>
      </c>
      <c r="P499" s="4">
        <f t="shared" si="15"/>
        <v>151445.79999999999</v>
      </c>
      <c r="Q499" s="3" t="s">
        <v>36</v>
      </c>
      <c r="R499" s="3" t="s">
        <v>67</v>
      </c>
      <c r="S499" s="3" t="s">
        <v>68</v>
      </c>
      <c r="T499" s="3" t="s">
        <v>26</v>
      </c>
    </row>
    <row r="500" spans="1:20" ht="15" customHeight="1" x14ac:dyDescent="0.3">
      <c r="A500" s="3" t="s">
        <v>1573</v>
      </c>
      <c r="B500" s="3" t="s">
        <v>191</v>
      </c>
      <c r="C500" s="3" t="s">
        <v>14</v>
      </c>
      <c r="D500" s="3" t="s">
        <v>1574</v>
      </c>
      <c r="E500" s="3" t="s">
        <v>1575</v>
      </c>
      <c r="F500" s="3" t="s">
        <v>117</v>
      </c>
      <c r="G500" s="3" t="s">
        <v>169</v>
      </c>
      <c r="H500" s="3" t="s">
        <v>18</v>
      </c>
      <c r="I500" s="3">
        <v>162</v>
      </c>
      <c r="J500" s="3" t="s">
        <v>96</v>
      </c>
      <c r="K500" s="3" t="s">
        <v>1</v>
      </c>
      <c r="L500" s="3" t="s">
        <v>90</v>
      </c>
      <c r="M500" s="4">
        <v>124900</v>
      </c>
      <c r="N500" s="5">
        <v>9.8000000000000007</v>
      </c>
      <c r="O500" s="4">
        <f t="shared" si="14"/>
        <v>12240.2</v>
      </c>
      <c r="P500" s="4">
        <f t="shared" si="15"/>
        <v>112659.8</v>
      </c>
      <c r="Q500" s="3" t="s">
        <v>40</v>
      </c>
      <c r="R500" s="3" t="s">
        <v>67</v>
      </c>
      <c r="S500" s="3" t="s">
        <v>67</v>
      </c>
      <c r="T500" s="3" t="s">
        <v>26</v>
      </c>
    </row>
    <row r="501" spans="1:20" ht="15" customHeight="1" x14ac:dyDescent="0.3">
      <c r="A501" s="3" t="s">
        <v>1576</v>
      </c>
      <c r="B501" s="3" t="s">
        <v>166</v>
      </c>
      <c r="C501" s="3" t="s">
        <v>4</v>
      </c>
      <c r="D501" s="3" t="s">
        <v>1577</v>
      </c>
      <c r="E501" s="3" t="s">
        <v>1578</v>
      </c>
      <c r="F501" s="3" t="s">
        <v>145</v>
      </c>
      <c r="G501" s="3" t="s">
        <v>73</v>
      </c>
      <c r="H501" s="3" t="s">
        <v>21</v>
      </c>
      <c r="I501" s="3">
        <v>110</v>
      </c>
      <c r="J501" s="3" t="s">
        <v>96</v>
      </c>
      <c r="K501" s="3" t="s">
        <v>5</v>
      </c>
      <c r="L501" s="3" t="s">
        <v>90</v>
      </c>
      <c r="M501" s="4">
        <v>79900</v>
      </c>
      <c r="N501" s="5">
        <v>13.8</v>
      </c>
      <c r="O501" s="4">
        <f t="shared" si="14"/>
        <v>11026.2</v>
      </c>
      <c r="P501" s="4">
        <f t="shared" si="15"/>
        <v>68873.8</v>
      </c>
      <c r="Q501" s="3" t="s">
        <v>25</v>
      </c>
      <c r="R501" s="3" t="s">
        <v>67</v>
      </c>
      <c r="S501" s="3" t="s">
        <v>67</v>
      </c>
      <c r="T501" s="3" t="s">
        <v>26</v>
      </c>
    </row>
    <row r="502" spans="1:20" ht="15" customHeight="1" x14ac:dyDescent="0.3">
      <c r="A502" s="3" t="s">
        <v>1579</v>
      </c>
      <c r="B502" s="3" t="s">
        <v>84</v>
      </c>
      <c r="C502" s="3" t="s">
        <v>17</v>
      </c>
      <c r="D502" s="3" t="s">
        <v>1580</v>
      </c>
      <c r="E502" s="3" t="s">
        <v>1581</v>
      </c>
      <c r="F502" s="3" t="s">
        <v>124</v>
      </c>
      <c r="G502" s="3" t="s">
        <v>211</v>
      </c>
      <c r="H502" s="3" t="s">
        <v>20</v>
      </c>
      <c r="I502" s="3">
        <v>350</v>
      </c>
      <c r="J502" s="3" t="s">
        <v>81</v>
      </c>
      <c r="K502" s="3" t="s">
        <v>11</v>
      </c>
      <c r="L502" s="3" t="s">
        <v>206</v>
      </c>
      <c r="M502" s="4">
        <v>199900</v>
      </c>
      <c r="N502" s="5">
        <v>7.3</v>
      </c>
      <c r="O502" s="4">
        <f t="shared" si="14"/>
        <v>14592.7</v>
      </c>
      <c r="P502" s="4">
        <f t="shared" si="15"/>
        <v>185307.3</v>
      </c>
      <c r="Q502" s="3" t="s">
        <v>38</v>
      </c>
      <c r="R502" s="3" t="s">
        <v>67</v>
      </c>
      <c r="S502" s="3" t="s">
        <v>67</v>
      </c>
      <c r="T502" s="3" t="s">
        <v>26</v>
      </c>
    </row>
    <row r="503" spans="1:20" ht="15" customHeight="1" x14ac:dyDescent="0.3">
      <c r="A503" s="3" t="s">
        <v>1582</v>
      </c>
      <c r="B503" s="3" t="s">
        <v>171</v>
      </c>
      <c r="C503" s="3" t="s">
        <v>12</v>
      </c>
      <c r="D503" s="3" t="s">
        <v>965</v>
      </c>
      <c r="E503" s="3" t="s">
        <v>1583</v>
      </c>
      <c r="F503" s="3" t="s">
        <v>117</v>
      </c>
      <c r="G503" s="3" t="s">
        <v>184</v>
      </c>
      <c r="H503" s="3" t="s">
        <v>18</v>
      </c>
      <c r="I503" s="3">
        <v>125</v>
      </c>
      <c r="J503" s="3" t="s">
        <v>89</v>
      </c>
      <c r="K503" s="3" t="s">
        <v>11</v>
      </c>
      <c r="L503" s="3" t="s">
        <v>206</v>
      </c>
      <c r="M503" s="4">
        <v>79900</v>
      </c>
      <c r="N503" s="5">
        <v>7.5</v>
      </c>
      <c r="O503" s="4">
        <f t="shared" si="14"/>
        <v>5992.5</v>
      </c>
      <c r="P503" s="4">
        <f t="shared" si="15"/>
        <v>73907.5</v>
      </c>
      <c r="Q503" s="3" t="s">
        <v>34</v>
      </c>
      <c r="R503" s="3" t="s">
        <v>67</v>
      </c>
      <c r="S503" s="3" t="s">
        <v>68</v>
      </c>
      <c r="T503" s="3" t="s">
        <v>26</v>
      </c>
    </row>
    <row r="504" spans="1:20" ht="15" customHeight="1" x14ac:dyDescent="0.3">
      <c r="A504" s="3" t="s">
        <v>1584</v>
      </c>
      <c r="B504" s="3" t="s">
        <v>181</v>
      </c>
      <c r="C504" s="3" t="s">
        <v>4</v>
      </c>
      <c r="D504" s="3" t="s">
        <v>1585</v>
      </c>
      <c r="E504" s="3" t="s">
        <v>1586</v>
      </c>
      <c r="F504" s="3" t="s">
        <v>79</v>
      </c>
      <c r="G504" s="3" t="s">
        <v>118</v>
      </c>
      <c r="H504" s="3" t="s">
        <v>20</v>
      </c>
      <c r="I504" s="3">
        <v>350</v>
      </c>
      <c r="J504" s="3" t="s">
        <v>81</v>
      </c>
      <c r="K504" s="3" t="s">
        <v>1</v>
      </c>
      <c r="L504" s="3" t="s">
        <v>66</v>
      </c>
      <c r="M504" s="4">
        <v>159900</v>
      </c>
      <c r="N504" s="5">
        <v>6.6</v>
      </c>
      <c r="O504" s="4">
        <f t="shared" si="14"/>
        <v>10553.4</v>
      </c>
      <c r="P504" s="4">
        <f t="shared" si="15"/>
        <v>149346.6</v>
      </c>
      <c r="Q504" s="3" t="s">
        <v>36</v>
      </c>
      <c r="R504" s="3" t="s">
        <v>67</v>
      </c>
      <c r="S504" s="3" t="s">
        <v>67</v>
      </c>
      <c r="T504" s="3" t="s">
        <v>26</v>
      </c>
    </row>
    <row r="505" spans="1:20" ht="15" customHeight="1" x14ac:dyDescent="0.3">
      <c r="A505" s="3" t="s">
        <v>1587</v>
      </c>
      <c r="B505" s="3" t="s">
        <v>600</v>
      </c>
      <c r="C505" s="3" t="s">
        <v>6</v>
      </c>
      <c r="D505" s="3" t="s">
        <v>905</v>
      </c>
      <c r="E505" s="3" t="s">
        <v>1588</v>
      </c>
      <c r="F505" s="3" t="s">
        <v>79</v>
      </c>
      <c r="G505" s="3" t="s">
        <v>95</v>
      </c>
      <c r="H505" s="3" t="s">
        <v>22</v>
      </c>
      <c r="I505" s="3">
        <v>0</v>
      </c>
      <c r="J505" s="3" t="s">
        <v>129</v>
      </c>
      <c r="K505" s="3" t="s">
        <v>1</v>
      </c>
      <c r="L505" s="3" t="s">
        <v>90</v>
      </c>
      <c r="M505" s="4">
        <v>139999</v>
      </c>
      <c r="N505" s="5">
        <v>11.3</v>
      </c>
      <c r="O505" s="4">
        <f t="shared" si="14"/>
        <v>15819.887000000002</v>
      </c>
      <c r="P505" s="4">
        <f t="shared" si="15"/>
        <v>124179.113</v>
      </c>
      <c r="Q505" s="3" t="s">
        <v>31</v>
      </c>
      <c r="R505" s="3" t="s">
        <v>67</v>
      </c>
      <c r="S505" s="3" t="s">
        <v>67</v>
      </c>
      <c r="T505" s="3" t="s">
        <v>26</v>
      </c>
    </row>
    <row r="506" spans="1:20" ht="15" customHeight="1" x14ac:dyDescent="0.3">
      <c r="A506" s="3" t="s">
        <v>1589</v>
      </c>
      <c r="B506" s="3" t="s">
        <v>732</v>
      </c>
      <c r="C506" s="3" t="s">
        <v>8</v>
      </c>
      <c r="D506" s="3" t="s">
        <v>498</v>
      </c>
      <c r="E506" s="3" t="s">
        <v>1590</v>
      </c>
      <c r="F506" s="3" t="s">
        <v>174</v>
      </c>
      <c r="G506" s="3" t="s">
        <v>256</v>
      </c>
      <c r="H506" s="3" t="s">
        <v>21</v>
      </c>
      <c r="I506" s="3">
        <v>110</v>
      </c>
      <c r="J506" s="3" t="s">
        <v>102</v>
      </c>
      <c r="K506" s="3" t="s">
        <v>9</v>
      </c>
      <c r="L506" s="3" t="s">
        <v>90</v>
      </c>
      <c r="M506" s="4">
        <v>80900</v>
      </c>
      <c r="N506" s="5">
        <v>9.9</v>
      </c>
      <c r="O506" s="4">
        <f t="shared" si="14"/>
        <v>8009.1</v>
      </c>
      <c r="P506" s="4">
        <f t="shared" si="15"/>
        <v>72890.899999999994</v>
      </c>
      <c r="Q506" s="3" t="s">
        <v>36</v>
      </c>
      <c r="R506" s="3" t="s">
        <v>67</v>
      </c>
      <c r="S506" s="3" t="s">
        <v>68</v>
      </c>
      <c r="T506" s="3" t="s">
        <v>26</v>
      </c>
    </row>
    <row r="507" spans="1:20" ht="15" customHeight="1" x14ac:dyDescent="0.3">
      <c r="A507" s="3" t="s">
        <v>1591</v>
      </c>
      <c r="B507" s="3" t="s">
        <v>224</v>
      </c>
      <c r="C507" s="3" t="s">
        <v>0</v>
      </c>
      <c r="D507" s="3" t="s">
        <v>1592</v>
      </c>
      <c r="E507" s="3" t="s">
        <v>1593</v>
      </c>
      <c r="F507" s="3" t="s">
        <v>124</v>
      </c>
      <c r="G507" s="3" t="s">
        <v>88</v>
      </c>
      <c r="H507" s="3" t="s">
        <v>18</v>
      </c>
      <c r="I507" s="3">
        <v>125</v>
      </c>
      <c r="J507" s="3" t="s">
        <v>65</v>
      </c>
      <c r="K507" s="3" t="s">
        <v>3</v>
      </c>
      <c r="L507" s="3" t="s">
        <v>90</v>
      </c>
      <c r="M507" s="4">
        <v>94900</v>
      </c>
      <c r="N507" s="5">
        <v>14.8</v>
      </c>
      <c r="O507" s="4">
        <f t="shared" si="14"/>
        <v>14045.2</v>
      </c>
      <c r="P507" s="4">
        <f t="shared" si="15"/>
        <v>80854.8</v>
      </c>
      <c r="Q507" s="3" t="s">
        <v>34</v>
      </c>
      <c r="R507" s="3" t="s">
        <v>67</v>
      </c>
      <c r="S507" s="3" t="s">
        <v>68</v>
      </c>
      <c r="T507" s="3" t="s">
        <v>26</v>
      </c>
    </row>
    <row r="508" spans="1:20" ht="15" customHeight="1" x14ac:dyDescent="0.3">
      <c r="A508" s="3" t="s">
        <v>1594</v>
      </c>
      <c r="B508" s="3" t="s">
        <v>579</v>
      </c>
      <c r="C508" s="3" t="s">
        <v>0</v>
      </c>
      <c r="D508" s="3" t="s">
        <v>1595</v>
      </c>
      <c r="E508" s="3" t="s">
        <v>1596</v>
      </c>
      <c r="F508" s="3" t="s">
        <v>79</v>
      </c>
      <c r="G508" s="3" t="s">
        <v>256</v>
      </c>
      <c r="H508" s="3" t="s">
        <v>21</v>
      </c>
      <c r="I508" s="3">
        <v>110</v>
      </c>
      <c r="J508" s="3" t="s">
        <v>243</v>
      </c>
      <c r="K508" s="3" t="s">
        <v>9</v>
      </c>
      <c r="L508" s="3" t="s">
        <v>90</v>
      </c>
      <c r="M508" s="4">
        <v>80900</v>
      </c>
      <c r="N508" s="5">
        <v>10.199999999999999</v>
      </c>
      <c r="O508" s="4">
        <f t="shared" si="14"/>
        <v>8251.7999999999993</v>
      </c>
      <c r="P508" s="4">
        <f t="shared" si="15"/>
        <v>72648.2</v>
      </c>
      <c r="Q508" s="3" t="s">
        <v>31</v>
      </c>
      <c r="R508" s="3" t="s">
        <v>67</v>
      </c>
      <c r="S508" s="3" t="s">
        <v>68</v>
      </c>
      <c r="T508" s="3" t="s">
        <v>29</v>
      </c>
    </row>
    <row r="509" spans="1:20" ht="15" customHeight="1" x14ac:dyDescent="0.3">
      <c r="A509" s="3" t="s">
        <v>1597</v>
      </c>
      <c r="B509" s="3" t="s">
        <v>334</v>
      </c>
      <c r="C509" s="3" t="s">
        <v>0</v>
      </c>
      <c r="D509" s="3" t="s">
        <v>1598</v>
      </c>
      <c r="E509" s="3" t="s">
        <v>1599</v>
      </c>
      <c r="F509" s="3" t="s">
        <v>79</v>
      </c>
      <c r="G509" s="3" t="s">
        <v>211</v>
      </c>
      <c r="H509" s="3" t="s">
        <v>20</v>
      </c>
      <c r="I509" s="3">
        <v>350</v>
      </c>
      <c r="J509" s="3" t="s">
        <v>179</v>
      </c>
      <c r="K509" s="3" t="s">
        <v>7</v>
      </c>
      <c r="L509" s="3" t="s">
        <v>206</v>
      </c>
      <c r="M509" s="4">
        <v>199900</v>
      </c>
      <c r="N509" s="5">
        <v>4.4000000000000004</v>
      </c>
      <c r="O509" s="4">
        <f t="shared" si="14"/>
        <v>8795.6</v>
      </c>
      <c r="P509" s="4">
        <f t="shared" si="15"/>
        <v>191104.4</v>
      </c>
      <c r="Q509" s="3" t="s">
        <v>31</v>
      </c>
      <c r="R509" s="3" t="s">
        <v>67</v>
      </c>
      <c r="S509" s="3" t="s">
        <v>68</v>
      </c>
      <c r="T509" s="3" t="s">
        <v>26</v>
      </c>
    </row>
    <row r="510" spans="1:20" ht="15" customHeight="1" x14ac:dyDescent="0.3">
      <c r="A510" s="3" t="s">
        <v>1600</v>
      </c>
      <c r="B510" s="3" t="s">
        <v>126</v>
      </c>
      <c r="C510" s="3" t="s">
        <v>14</v>
      </c>
      <c r="D510" s="3" t="s">
        <v>1601</v>
      </c>
      <c r="E510" s="3" t="s">
        <v>1602</v>
      </c>
      <c r="F510" s="3" t="s">
        <v>134</v>
      </c>
      <c r="G510" s="3" t="s">
        <v>95</v>
      </c>
      <c r="H510" s="3" t="s">
        <v>22</v>
      </c>
      <c r="I510" s="3">
        <v>0</v>
      </c>
      <c r="J510" s="3" t="s">
        <v>243</v>
      </c>
      <c r="K510" s="3" t="s">
        <v>11</v>
      </c>
      <c r="L510" s="3" t="s">
        <v>136</v>
      </c>
      <c r="M510" s="4">
        <v>139999</v>
      </c>
      <c r="N510" s="5">
        <v>5.7</v>
      </c>
      <c r="O510" s="4">
        <f t="shared" si="14"/>
        <v>7979.9430000000002</v>
      </c>
      <c r="P510" s="4">
        <f t="shared" si="15"/>
        <v>132019.057</v>
      </c>
      <c r="Q510" s="3" t="s">
        <v>40</v>
      </c>
      <c r="R510" s="3" t="s">
        <v>67</v>
      </c>
      <c r="S510" s="3" t="s">
        <v>68</v>
      </c>
      <c r="T510" s="3" t="s">
        <v>26</v>
      </c>
    </row>
    <row r="511" spans="1:20" ht="15" customHeight="1" x14ac:dyDescent="0.3">
      <c r="A511" s="3" t="s">
        <v>1603</v>
      </c>
      <c r="B511" s="3" t="s">
        <v>300</v>
      </c>
      <c r="C511" s="3" t="s">
        <v>12</v>
      </c>
      <c r="D511" s="3" t="s">
        <v>1604</v>
      </c>
      <c r="E511" s="3" t="s">
        <v>1605</v>
      </c>
      <c r="F511" s="3" t="s">
        <v>174</v>
      </c>
      <c r="G511" s="3" t="s">
        <v>80</v>
      </c>
      <c r="H511" s="3" t="s">
        <v>22</v>
      </c>
      <c r="I511" s="3">
        <v>0</v>
      </c>
      <c r="J511" s="3" t="s">
        <v>129</v>
      </c>
      <c r="K511" s="3" t="s">
        <v>9</v>
      </c>
      <c r="L511" s="3" t="s">
        <v>206</v>
      </c>
      <c r="M511" s="4">
        <v>145000</v>
      </c>
      <c r="N511" s="5">
        <v>4.5999999999999996</v>
      </c>
      <c r="O511" s="4">
        <f t="shared" si="14"/>
        <v>6670</v>
      </c>
      <c r="P511" s="4">
        <f t="shared" si="15"/>
        <v>138330</v>
      </c>
      <c r="Q511" s="3" t="s">
        <v>31</v>
      </c>
      <c r="R511" s="3" t="s">
        <v>67</v>
      </c>
      <c r="S511" s="3" t="s">
        <v>68</v>
      </c>
      <c r="T511" s="3" t="s">
        <v>26</v>
      </c>
    </row>
    <row r="512" spans="1:20" ht="15" customHeight="1" x14ac:dyDescent="0.3">
      <c r="A512" s="3" t="s">
        <v>1606</v>
      </c>
      <c r="B512" s="3" t="s">
        <v>158</v>
      </c>
      <c r="C512" s="3" t="s">
        <v>10</v>
      </c>
      <c r="D512" s="3" t="s">
        <v>385</v>
      </c>
      <c r="E512" s="3" t="s">
        <v>1607</v>
      </c>
      <c r="F512" s="3" t="s">
        <v>63</v>
      </c>
      <c r="G512" s="3" t="s">
        <v>222</v>
      </c>
      <c r="H512" s="3" t="s">
        <v>19</v>
      </c>
      <c r="I512" s="3">
        <v>155</v>
      </c>
      <c r="J512" s="3" t="s">
        <v>96</v>
      </c>
      <c r="K512" s="3" t="s">
        <v>5</v>
      </c>
      <c r="L512" s="3" t="s">
        <v>103</v>
      </c>
      <c r="M512" s="4">
        <v>167900</v>
      </c>
      <c r="N512" s="5">
        <v>9.3000000000000007</v>
      </c>
      <c r="O512" s="4">
        <f t="shared" si="14"/>
        <v>15614.700000000003</v>
      </c>
      <c r="P512" s="4">
        <f t="shared" si="15"/>
        <v>152285.29999999999</v>
      </c>
      <c r="Q512" s="3" t="s">
        <v>36</v>
      </c>
      <c r="R512" s="3" t="s">
        <v>68</v>
      </c>
      <c r="S512" s="3" t="s">
        <v>68</v>
      </c>
      <c r="T512" s="3" t="s">
        <v>29</v>
      </c>
    </row>
    <row r="513" spans="1:20" ht="15" customHeight="1" x14ac:dyDescent="0.3">
      <c r="A513" s="3" t="s">
        <v>1608</v>
      </c>
      <c r="B513" s="3" t="s">
        <v>148</v>
      </c>
      <c r="C513" s="3" t="s">
        <v>8</v>
      </c>
      <c r="D513" s="3" t="s">
        <v>1382</v>
      </c>
      <c r="E513" s="3" t="s">
        <v>1609</v>
      </c>
      <c r="F513" s="3" t="s">
        <v>112</v>
      </c>
      <c r="G513" s="3" t="s">
        <v>73</v>
      </c>
      <c r="H513" s="3" t="s">
        <v>21</v>
      </c>
      <c r="I513" s="3">
        <v>110</v>
      </c>
      <c r="J513" s="3" t="s">
        <v>243</v>
      </c>
      <c r="K513" s="3" t="s">
        <v>9</v>
      </c>
      <c r="L513" s="3" t="s">
        <v>97</v>
      </c>
      <c r="M513" s="4">
        <v>79900</v>
      </c>
      <c r="N513" s="5">
        <v>5.8</v>
      </c>
      <c r="O513" s="4">
        <f t="shared" si="14"/>
        <v>4634.2</v>
      </c>
      <c r="P513" s="4">
        <f t="shared" si="15"/>
        <v>75265.8</v>
      </c>
      <c r="Q513" s="3" t="s">
        <v>28</v>
      </c>
      <c r="R513" s="3" t="s">
        <v>67</v>
      </c>
      <c r="S513" s="3" t="s">
        <v>68</v>
      </c>
      <c r="T513" s="3" t="s">
        <v>26</v>
      </c>
    </row>
    <row r="514" spans="1:20" ht="15" customHeight="1" x14ac:dyDescent="0.3">
      <c r="A514" s="3" t="s">
        <v>1610</v>
      </c>
      <c r="B514" s="3" t="s">
        <v>406</v>
      </c>
      <c r="C514" s="3" t="s">
        <v>17</v>
      </c>
      <c r="D514" s="3" t="s">
        <v>1203</v>
      </c>
      <c r="E514" s="3" t="s">
        <v>1611</v>
      </c>
      <c r="F514" s="3" t="s">
        <v>87</v>
      </c>
      <c r="G514" s="3" t="s">
        <v>64</v>
      </c>
      <c r="H514" s="3" t="s">
        <v>19</v>
      </c>
      <c r="I514" s="3">
        <v>200</v>
      </c>
      <c r="J514" s="3" t="s">
        <v>96</v>
      </c>
      <c r="K514" s="3" t="s">
        <v>5</v>
      </c>
      <c r="L514" s="3" t="s">
        <v>136</v>
      </c>
      <c r="M514" s="4">
        <v>199900</v>
      </c>
      <c r="N514" s="5">
        <v>5.3</v>
      </c>
      <c r="O514" s="4">
        <f t="shared" ref="O514:O577" si="16">M514*N514/100</f>
        <v>10594.7</v>
      </c>
      <c r="P514" s="4">
        <f t="shared" ref="P514:P577" si="17">M514-O514</f>
        <v>189305.3</v>
      </c>
      <c r="Q514" s="3" t="s">
        <v>34</v>
      </c>
      <c r="R514" s="3" t="s">
        <v>67</v>
      </c>
      <c r="S514" s="3" t="s">
        <v>68</v>
      </c>
      <c r="T514" s="3" t="s">
        <v>32</v>
      </c>
    </row>
    <row r="515" spans="1:20" ht="15" customHeight="1" x14ac:dyDescent="0.3">
      <c r="A515" s="3" t="s">
        <v>1612</v>
      </c>
      <c r="B515" s="3" t="s">
        <v>873</v>
      </c>
      <c r="C515" s="3" t="s">
        <v>6</v>
      </c>
      <c r="D515" s="3" t="s">
        <v>886</v>
      </c>
      <c r="E515" s="3" t="s">
        <v>1613</v>
      </c>
      <c r="F515" s="3" t="s">
        <v>117</v>
      </c>
      <c r="G515" s="3" t="s">
        <v>135</v>
      </c>
      <c r="H515" s="3" t="s">
        <v>19</v>
      </c>
      <c r="I515" s="3">
        <v>160</v>
      </c>
      <c r="J515" s="3" t="s">
        <v>96</v>
      </c>
      <c r="K515" s="3" t="s">
        <v>3</v>
      </c>
      <c r="L515" s="3" t="s">
        <v>82</v>
      </c>
      <c r="M515" s="4">
        <v>124900</v>
      </c>
      <c r="N515" s="5">
        <v>14.4</v>
      </c>
      <c r="O515" s="4">
        <f t="shared" si="16"/>
        <v>17985.599999999999</v>
      </c>
      <c r="P515" s="4">
        <f t="shared" si="17"/>
        <v>106914.4</v>
      </c>
      <c r="Q515" s="3" t="s">
        <v>28</v>
      </c>
      <c r="R515" s="3" t="s">
        <v>68</v>
      </c>
      <c r="S515" s="3" t="s">
        <v>67</v>
      </c>
      <c r="T515" s="3" t="s">
        <v>32</v>
      </c>
    </row>
    <row r="516" spans="1:20" ht="15" customHeight="1" x14ac:dyDescent="0.3">
      <c r="A516" s="3" t="s">
        <v>1614</v>
      </c>
      <c r="B516" s="3" t="s">
        <v>501</v>
      </c>
      <c r="C516" s="3" t="s">
        <v>12</v>
      </c>
      <c r="D516" s="3" t="s">
        <v>1615</v>
      </c>
      <c r="E516" s="3" t="s">
        <v>1616</v>
      </c>
      <c r="F516" s="3" t="s">
        <v>87</v>
      </c>
      <c r="G516" s="3" t="s">
        <v>316</v>
      </c>
      <c r="H516" s="3" t="s">
        <v>19</v>
      </c>
      <c r="I516" s="3">
        <v>150</v>
      </c>
      <c r="J516" s="3" t="s">
        <v>96</v>
      </c>
      <c r="K516" s="3" t="s">
        <v>5</v>
      </c>
      <c r="L516" s="3" t="s">
        <v>74</v>
      </c>
      <c r="M516" s="4">
        <v>109900</v>
      </c>
      <c r="N516" s="5">
        <v>5.5</v>
      </c>
      <c r="O516" s="4">
        <f t="shared" si="16"/>
        <v>6044.5</v>
      </c>
      <c r="P516" s="4">
        <f t="shared" si="17"/>
        <v>103855.5</v>
      </c>
      <c r="Q516" s="3" t="s">
        <v>34</v>
      </c>
      <c r="R516" s="3" t="s">
        <v>67</v>
      </c>
      <c r="S516" s="3" t="s">
        <v>68</v>
      </c>
      <c r="T516" s="3" t="s">
        <v>29</v>
      </c>
    </row>
    <row r="517" spans="1:20" ht="15" customHeight="1" x14ac:dyDescent="0.3">
      <c r="A517" s="3" t="s">
        <v>1617</v>
      </c>
      <c r="B517" s="3" t="s">
        <v>152</v>
      </c>
      <c r="C517" s="3" t="s">
        <v>6</v>
      </c>
      <c r="D517" s="3" t="s">
        <v>1618</v>
      </c>
      <c r="E517" s="3" t="s">
        <v>1619</v>
      </c>
      <c r="F517" s="3" t="s">
        <v>145</v>
      </c>
      <c r="G517" s="3" t="s">
        <v>135</v>
      </c>
      <c r="H517" s="3" t="s">
        <v>19</v>
      </c>
      <c r="I517" s="3">
        <v>160</v>
      </c>
      <c r="J517" s="3" t="s">
        <v>102</v>
      </c>
      <c r="K517" s="3" t="s">
        <v>3</v>
      </c>
      <c r="L517" s="3" t="s">
        <v>97</v>
      </c>
      <c r="M517" s="4">
        <v>124900</v>
      </c>
      <c r="N517" s="5">
        <v>5.3</v>
      </c>
      <c r="O517" s="4">
        <f t="shared" si="16"/>
        <v>6619.7</v>
      </c>
      <c r="P517" s="4">
        <f t="shared" si="17"/>
        <v>118280.3</v>
      </c>
      <c r="Q517" s="3" t="s">
        <v>25</v>
      </c>
      <c r="R517" s="3" t="s">
        <v>67</v>
      </c>
      <c r="S517" s="3" t="s">
        <v>68</v>
      </c>
      <c r="T517" s="3" t="s">
        <v>26</v>
      </c>
    </row>
    <row r="518" spans="1:20" ht="15" customHeight="1" x14ac:dyDescent="0.3">
      <c r="A518" s="3" t="s">
        <v>1620</v>
      </c>
      <c r="B518" s="3" t="s">
        <v>276</v>
      </c>
      <c r="C518" s="3" t="s">
        <v>12</v>
      </c>
      <c r="D518" s="3" t="s">
        <v>939</v>
      </c>
      <c r="E518" s="3" t="s">
        <v>1621</v>
      </c>
      <c r="F518" s="3" t="s">
        <v>124</v>
      </c>
      <c r="G518" s="3" t="s">
        <v>222</v>
      </c>
      <c r="H518" s="3" t="s">
        <v>19</v>
      </c>
      <c r="I518" s="3">
        <v>155</v>
      </c>
      <c r="J518" s="3" t="s">
        <v>96</v>
      </c>
      <c r="K518" s="3" t="s">
        <v>5</v>
      </c>
      <c r="L518" s="3" t="s">
        <v>103</v>
      </c>
      <c r="M518" s="4">
        <v>167900</v>
      </c>
      <c r="N518" s="5">
        <v>6.6</v>
      </c>
      <c r="O518" s="4">
        <f t="shared" si="16"/>
        <v>11081.4</v>
      </c>
      <c r="P518" s="4">
        <f t="shared" si="17"/>
        <v>156818.6</v>
      </c>
      <c r="Q518" s="3" t="s">
        <v>28</v>
      </c>
      <c r="R518" s="3" t="s">
        <v>68</v>
      </c>
      <c r="S518" s="3" t="s">
        <v>68</v>
      </c>
      <c r="T518" s="3" t="s">
        <v>29</v>
      </c>
    </row>
    <row r="519" spans="1:20" ht="15" customHeight="1" x14ac:dyDescent="0.3">
      <c r="A519" s="3" t="s">
        <v>1622</v>
      </c>
      <c r="B519" s="3" t="s">
        <v>304</v>
      </c>
      <c r="C519" s="3" t="s">
        <v>2</v>
      </c>
      <c r="D519" s="3" t="s">
        <v>479</v>
      </c>
      <c r="E519" s="3" t="s">
        <v>1623</v>
      </c>
      <c r="F519" s="3" t="s">
        <v>63</v>
      </c>
      <c r="G519" s="3" t="s">
        <v>316</v>
      </c>
      <c r="H519" s="3" t="s">
        <v>19</v>
      </c>
      <c r="I519" s="3">
        <v>150</v>
      </c>
      <c r="J519" s="3" t="s">
        <v>81</v>
      </c>
      <c r="K519" s="3" t="s">
        <v>11</v>
      </c>
      <c r="L519" s="3" t="s">
        <v>136</v>
      </c>
      <c r="M519" s="4">
        <v>109900</v>
      </c>
      <c r="N519" s="5">
        <v>10.3</v>
      </c>
      <c r="O519" s="4">
        <f t="shared" si="16"/>
        <v>11319.7</v>
      </c>
      <c r="P519" s="4">
        <f t="shared" si="17"/>
        <v>98580.3</v>
      </c>
      <c r="Q519" s="3" t="s">
        <v>34</v>
      </c>
      <c r="R519" s="3" t="s">
        <v>68</v>
      </c>
      <c r="S519" s="3" t="s">
        <v>67</v>
      </c>
      <c r="T519" s="3" t="s">
        <v>29</v>
      </c>
    </row>
    <row r="520" spans="1:20" ht="15" customHeight="1" x14ac:dyDescent="0.3">
      <c r="A520" s="3" t="s">
        <v>1624</v>
      </c>
      <c r="B520" s="3" t="s">
        <v>676</v>
      </c>
      <c r="C520" s="3" t="s">
        <v>15</v>
      </c>
      <c r="D520" s="3" t="s">
        <v>726</v>
      </c>
      <c r="E520" s="3" t="s">
        <v>1625</v>
      </c>
      <c r="F520" s="3" t="s">
        <v>174</v>
      </c>
      <c r="G520" s="3" t="s">
        <v>146</v>
      </c>
      <c r="H520" s="3" t="s">
        <v>18</v>
      </c>
      <c r="I520" s="3">
        <v>110</v>
      </c>
      <c r="J520" s="3" t="s">
        <v>129</v>
      </c>
      <c r="K520" s="3" t="s">
        <v>5</v>
      </c>
      <c r="L520" s="3" t="s">
        <v>82</v>
      </c>
      <c r="M520" s="4">
        <v>74900</v>
      </c>
      <c r="N520" s="5">
        <v>8.5</v>
      </c>
      <c r="O520" s="4">
        <f t="shared" si="16"/>
        <v>6366.5</v>
      </c>
      <c r="P520" s="4">
        <f t="shared" si="17"/>
        <v>68533.5</v>
      </c>
      <c r="Q520" s="3" t="s">
        <v>28</v>
      </c>
      <c r="R520" s="3" t="s">
        <v>67</v>
      </c>
      <c r="S520" s="3" t="s">
        <v>67</v>
      </c>
      <c r="T520" s="3" t="s">
        <v>26</v>
      </c>
    </row>
    <row r="521" spans="1:20" ht="15" customHeight="1" x14ac:dyDescent="0.3">
      <c r="A521" s="3" t="s">
        <v>1626</v>
      </c>
      <c r="B521" s="3" t="s">
        <v>166</v>
      </c>
      <c r="C521" s="3" t="s">
        <v>4</v>
      </c>
      <c r="D521" s="3" t="s">
        <v>1483</v>
      </c>
      <c r="E521" s="3" t="s">
        <v>1627</v>
      </c>
      <c r="F521" s="3" t="s">
        <v>124</v>
      </c>
      <c r="G521" s="3" t="s">
        <v>64</v>
      </c>
      <c r="H521" s="3" t="s">
        <v>19</v>
      </c>
      <c r="I521" s="3">
        <v>200</v>
      </c>
      <c r="J521" s="3" t="s">
        <v>129</v>
      </c>
      <c r="K521" s="3" t="s">
        <v>7</v>
      </c>
      <c r="L521" s="3" t="s">
        <v>74</v>
      </c>
      <c r="M521" s="4">
        <v>199900</v>
      </c>
      <c r="N521" s="5">
        <v>11.4</v>
      </c>
      <c r="O521" s="4">
        <f t="shared" si="16"/>
        <v>22788.6</v>
      </c>
      <c r="P521" s="4">
        <f t="shared" si="17"/>
        <v>177111.4</v>
      </c>
      <c r="Q521" s="3" t="s">
        <v>40</v>
      </c>
      <c r="R521" s="3" t="s">
        <v>68</v>
      </c>
      <c r="S521" s="3" t="s">
        <v>68</v>
      </c>
      <c r="T521" s="3" t="s">
        <v>32</v>
      </c>
    </row>
    <row r="522" spans="1:20" ht="15" customHeight="1" x14ac:dyDescent="0.3">
      <c r="A522" s="3" t="s">
        <v>1628</v>
      </c>
      <c r="B522" s="3" t="s">
        <v>1067</v>
      </c>
      <c r="C522" s="3" t="s">
        <v>17</v>
      </c>
      <c r="D522" s="3" t="s">
        <v>1629</v>
      </c>
      <c r="E522" s="3" t="s">
        <v>1630</v>
      </c>
      <c r="F522" s="3" t="s">
        <v>112</v>
      </c>
      <c r="G522" s="3" t="s">
        <v>211</v>
      </c>
      <c r="H522" s="3" t="s">
        <v>20</v>
      </c>
      <c r="I522" s="3">
        <v>350</v>
      </c>
      <c r="J522" s="3" t="s">
        <v>81</v>
      </c>
      <c r="K522" s="3" t="s">
        <v>7</v>
      </c>
      <c r="L522" s="3" t="s">
        <v>82</v>
      </c>
      <c r="M522" s="4">
        <v>199900</v>
      </c>
      <c r="N522" s="5">
        <v>9</v>
      </c>
      <c r="O522" s="4">
        <f t="shared" si="16"/>
        <v>17991</v>
      </c>
      <c r="P522" s="4">
        <f t="shared" si="17"/>
        <v>181909</v>
      </c>
      <c r="Q522" s="3" t="s">
        <v>25</v>
      </c>
      <c r="R522" s="3" t="s">
        <v>67</v>
      </c>
      <c r="S522" s="3" t="s">
        <v>68</v>
      </c>
      <c r="T522" s="3" t="s">
        <v>26</v>
      </c>
    </row>
    <row r="523" spans="1:20" ht="15" customHeight="1" x14ac:dyDescent="0.3">
      <c r="A523" s="3" t="s">
        <v>1631</v>
      </c>
      <c r="B523" s="3" t="s">
        <v>600</v>
      </c>
      <c r="C523" s="3" t="s">
        <v>6</v>
      </c>
      <c r="D523" s="3" t="s">
        <v>1585</v>
      </c>
      <c r="E523" s="3" t="s">
        <v>1632</v>
      </c>
      <c r="F523" s="3" t="s">
        <v>134</v>
      </c>
      <c r="G523" s="3" t="s">
        <v>88</v>
      </c>
      <c r="H523" s="3" t="s">
        <v>18</v>
      </c>
      <c r="I523" s="3">
        <v>125</v>
      </c>
      <c r="J523" s="3" t="s">
        <v>81</v>
      </c>
      <c r="K523" s="3" t="s">
        <v>3</v>
      </c>
      <c r="L523" s="3" t="s">
        <v>66</v>
      </c>
      <c r="M523" s="4">
        <v>94900</v>
      </c>
      <c r="N523" s="5">
        <v>4.5999999999999996</v>
      </c>
      <c r="O523" s="4">
        <f t="shared" si="16"/>
        <v>4365.3999999999996</v>
      </c>
      <c r="P523" s="4">
        <f t="shared" si="17"/>
        <v>90534.6</v>
      </c>
      <c r="Q523" s="3" t="s">
        <v>31</v>
      </c>
      <c r="R523" s="3" t="s">
        <v>68</v>
      </c>
      <c r="S523" s="3" t="s">
        <v>68</v>
      </c>
      <c r="T523" s="3" t="s">
        <v>26</v>
      </c>
    </row>
    <row r="524" spans="1:20" ht="15" customHeight="1" x14ac:dyDescent="0.3">
      <c r="A524" s="3" t="s">
        <v>1633</v>
      </c>
      <c r="B524" s="3" t="s">
        <v>600</v>
      </c>
      <c r="C524" s="3" t="s">
        <v>6</v>
      </c>
      <c r="D524" s="3" t="s">
        <v>1634</v>
      </c>
      <c r="E524" s="3" t="s">
        <v>1635</v>
      </c>
      <c r="F524" s="3" t="s">
        <v>63</v>
      </c>
      <c r="G524" s="3" t="s">
        <v>169</v>
      </c>
      <c r="H524" s="3" t="s">
        <v>18</v>
      </c>
      <c r="I524" s="3">
        <v>162</v>
      </c>
      <c r="J524" s="3" t="s">
        <v>96</v>
      </c>
      <c r="K524" s="3" t="s">
        <v>11</v>
      </c>
      <c r="L524" s="3" t="s">
        <v>66</v>
      </c>
      <c r="M524" s="4">
        <v>124900</v>
      </c>
      <c r="N524" s="5">
        <v>12.1</v>
      </c>
      <c r="O524" s="4">
        <f t="shared" si="16"/>
        <v>15112.9</v>
      </c>
      <c r="P524" s="4">
        <f t="shared" si="17"/>
        <v>109787.1</v>
      </c>
      <c r="Q524" s="3" t="s">
        <v>28</v>
      </c>
      <c r="R524" s="3" t="s">
        <v>67</v>
      </c>
      <c r="S524" s="3" t="s">
        <v>67</v>
      </c>
      <c r="T524" s="3" t="s">
        <v>26</v>
      </c>
    </row>
    <row r="525" spans="1:20" ht="15" customHeight="1" x14ac:dyDescent="0.3">
      <c r="A525" s="3" t="s">
        <v>1636</v>
      </c>
      <c r="B525" s="3" t="s">
        <v>268</v>
      </c>
      <c r="C525" s="3" t="s">
        <v>4</v>
      </c>
      <c r="D525" s="3" t="s">
        <v>1637</v>
      </c>
      <c r="E525" s="3" t="s">
        <v>1638</v>
      </c>
      <c r="F525" s="3" t="s">
        <v>112</v>
      </c>
      <c r="G525" s="3" t="s">
        <v>184</v>
      </c>
      <c r="H525" s="3" t="s">
        <v>18</v>
      </c>
      <c r="I525" s="3">
        <v>125</v>
      </c>
      <c r="J525" s="3" t="s">
        <v>102</v>
      </c>
      <c r="K525" s="3" t="s">
        <v>9</v>
      </c>
      <c r="L525" s="3" t="s">
        <v>66</v>
      </c>
      <c r="M525" s="4">
        <v>79900</v>
      </c>
      <c r="N525" s="5">
        <v>12.7</v>
      </c>
      <c r="O525" s="4">
        <f t="shared" si="16"/>
        <v>10147.299999999999</v>
      </c>
      <c r="P525" s="4">
        <f t="shared" si="17"/>
        <v>69752.7</v>
      </c>
      <c r="Q525" s="3" t="s">
        <v>34</v>
      </c>
      <c r="R525" s="3" t="s">
        <v>68</v>
      </c>
      <c r="S525" s="3" t="s">
        <v>67</v>
      </c>
      <c r="T525" s="3" t="s">
        <v>26</v>
      </c>
    </row>
    <row r="526" spans="1:20" ht="15" customHeight="1" x14ac:dyDescent="0.3">
      <c r="A526" s="3" t="s">
        <v>1639</v>
      </c>
      <c r="B526" s="3" t="s">
        <v>402</v>
      </c>
      <c r="C526" s="3" t="s">
        <v>2</v>
      </c>
      <c r="D526" s="3" t="s">
        <v>1056</v>
      </c>
      <c r="E526" s="3" t="s">
        <v>1640</v>
      </c>
      <c r="F526" s="3" t="s">
        <v>79</v>
      </c>
      <c r="G526" s="3" t="s">
        <v>88</v>
      </c>
      <c r="H526" s="3" t="s">
        <v>18</v>
      </c>
      <c r="I526" s="3">
        <v>125</v>
      </c>
      <c r="J526" s="3" t="s">
        <v>179</v>
      </c>
      <c r="K526" s="3" t="s">
        <v>11</v>
      </c>
      <c r="L526" s="3" t="s">
        <v>136</v>
      </c>
      <c r="M526" s="4">
        <v>94900</v>
      </c>
      <c r="N526" s="5">
        <v>10.9</v>
      </c>
      <c r="O526" s="4">
        <f t="shared" si="16"/>
        <v>10344.1</v>
      </c>
      <c r="P526" s="4">
        <f t="shared" si="17"/>
        <v>84555.9</v>
      </c>
      <c r="Q526" s="3" t="s">
        <v>40</v>
      </c>
      <c r="R526" s="3" t="s">
        <v>68</v>
      </c>
      <c r="S526" s="3" t="s">
        <v>68</v>
      </c>
      <c r="T526" s="3" t="s">
        <v>32</v>
      </c>
    </row>
    <row r="527" spans="1:20" ht="15" customHeight="1" x14ac:dyDescent="0.3">
      <c r="A527" s="3" t="s">
        <v>1641</v>
      </c>
      <c r="B527" s="3" t="s">
        <v>341</v>
      </c>
      <c r="C527" s="3" t="s">
        <v>12</v>
      </c>
      <c r="D527" s="3" t="s">
        <v>1642</v>
      </c>
      <c r="E527" s="3" t="s">
        <v>1643</v>
      </c>
      <c r="F527" s="3" t="s">
        <v>124</v>
      </c>
      <c r="G527" s="3" t="s">
        <v>316</v>
      </c>
      <c r="H527" s="3" t="s">
        <v>19</v>
      </c>
      <c r="I527" s="3">
        <v>150</v>
      </c>
      <c r="J527" s="3" t="s">
        <v>89</v>
      </c>
      <c r="K527" s="3" t="s">
        <v>3</v>
      </c>
      <c r="L527" s="3" t="s">
        <v>103</v>
      </c>
      <c r="M527" s="4">
        <v>109900</v>
      </c>
      <c r="N527" s="5">
        <v>9.1999999999999993</v>
      </c>
      <c r="O527" s="4">
        <f t="shared" si="16"/>
        <v>10110.799999999999</v>
      </c>
      <c r="P527" s="4">
        <f t="shared" si="17"/>
        <v>99789.2</v>
      </c>
      <c r="Q527" s="3" t="s">
        <v>31</v>
      </c>
      <c r="R527" s="3" t="s">
        <v>67</v>
      </c>
      <c r="S527" s="3" t="s">
        <v>68</v>
      </c>
      <c r="T527" s="3" t="s">
        <v>26</v>
      </c>
    </row>
    <row r="528" spans="1:20" ht="15" customHeight="1" x14ac:dyDescent="0.3">
      <c r="A528" s="3" t="s">
        <v>1644</v>
      </c>
      <c r="B528" s="3" t="s">
        <v>812</v>
      </c>
      <c r="C528" s="3" t="s">
        <v>8</v>
      </c>
      <c r="D528" s="3" t="s">
        <v>1645</v>
      </c>
      <c r="E528" s="3" t="s">
        <v>1646</v>
      </c>
      <c r="F528" s="3" t="s">
        <v>124</v>
      </c>
      <c r="G528" s="3" t="s">
        <v>169</v>
      </c>
      <c r="H528" s="3" t="s">
        <v>18</v>
      </c>
      <c r="I528" s="3">
        <v>162</v>
      </c>
      <c r="J528" s="3" t="s">
        <v>96</v>
      </c>
      <c r="K528" s="3" t="s">
        <v>3</v>
      </c>
      <c r="L528" s="3" t="s">
        <v>97</v>
      </c>
      <c r="M528" s="4">
        <v>124900</v>
      </c>
      <c r="N528" s="5">
        <v>7.4</v>
      </c>
      <c r="O528" s="4">
        <f t="shared" si="16"/>
        <v>9242.6</v>
      </c>
      <c r="P528" s="4">
        <f t="shared" si="17"/>
        <v>115657.4</v>
      </c>
      <c r="Q528" s="3" t="s">
        <v>28</v>
      </c>
      <c r="R528" s="3" t="s">
        <v>67</v>
      </c>
      <c r="S528" s="3" t="s">
        <v>67</v>
      </c>
      <c r="T528" s="3" t="s">
        <v>26</v>
      </c>
    </row>
    <row r="529" spans="1:20" ht="15" customHeight="1" x14ac:dyDescent="0.3">
      <c r="A529" s="3" t="s">
        <v>1647</v>
      </c>
      <c r="B529" s="3" t="s">
        <v>579</v>
      </c>
      <c r="C529" s="3" t="s">
        <v>0</v>
      </c>
      <c r="D529" s="3" t="s">
        <v>1648</v>
      </c>
      <c r="E529" s="3" t="s">
        <v>1649</v>
      </c>
      <c r="F529" s="3" t="s">
        <v>145</v>
      </c>
      <c r="G529" s="3" t="s">
        <v>73</v>
      </c>
      <c r="H529" s="3" t="s">
        <v>21</v>
      </c>
      <c r="I529" s="3">
        <v>110</v>
      </c>
      <c r="J529" s="3" t="s">
        <v>96</v>
      </c>
      <c r="K529" s="3" t="s">
        <v>5</v>
      </c>
      <c r="L529" s="3" t="s">
        <v>90</v>
      </c>
      <c r="M529" s="4">
        <v>79900</v>
      </c>
      <c r="N529" s="5">
        <v>8.3000000000000007</v>
      </c>
      <c r="O529" s="4">
        <f t="shared" si="16"/>
        <v>6631.7</v>
      </c>
      <c r="P529" s="4">
        <f t="shared" si="17"/>
        <v>73268.3</v>
      </c>
      <c r="Q529" s="3" t="s">
        <v>40</v>
      </c>
      <c r="R529" s="3" t="s">
        <v>68</v>
      </c>
      <c r="S529" s="3" t="s">
        <v>68</v>
      </c>
      <c r="T529" s="3" t="s">
        <v>26</v>
      </c>
    </row>
    <row r="530" spans="1:20" ht="15" customHeight="1" x14ac:dyDescent="0.3">
      <c r="A530" s="3" t="s">
        <v>1650</v>
      </c>
      <c r="B530" s="3" t="s">
        <v>158</v>
      </c>
      <c r="C530" s="3" t="s">
        <v>10</v>
      </c>
      <c r="D530" s="3" t="s">
        <v>479</v>
      </c>
      <c r="E530" s="3" t="s">
        <v>1651</v>
      </c>
      <c r="F530" s="3" t="s">
        <v>112</v>
      </c>
      <c r="G530" s="3" t="s">
        <v>184</v>
      </c>
      <c r="H530" s="3" t="s">
        <v>18</v>
      </c>
      <c r="I530" s="3">
        <v>125</v>
      </c>
      <c r="J530" s="3" t="s">
        <v>89</v>
      </c>
      <c r="K530" s="3" t="s">
        <v>11</v>
      </c>
      <c r="L530" s="3" t="s">
        <v>66</v>
      </c>
      <c r="M530" s="4">
        <v>79900</v>
      </c>
      <c r="N530" s="5">
        <v>3.8</v>
      </c>
      <c r="O530" s="4">
        <f t="shared" si="16"/>
        <v>3036.2</v>
      </c>
      <c r="P530" s="4">
        <f t="shared" si="17"/>
        <v>76863.8</v>
      </c>
      <c r="Q530" s="3" t="s">
        <v>34</v>
      </c>
      <c r="R530" s="3" t="s">
        <v>67</v>
      </c>
      <c r="S530" s="3" t="s">
        <v>67</v>
      </c>
      <c r="T530" s="3" t="s">
        <v>32</v>
      </c>
    </row>
    <row r="531" spans="1:20" ht="15" customHeight="1" x14ac:dyDescent="0.3">
      <c r="A531" s="3" t="s">
        <v>1652</v>
      </c>
      <c r="B531" s="3" t="s">
        <v>421</v>
      </c>
      <c r="C531" s="3" t="s">
        <v>15</v>
      </c>
      <c r="D531" s="3" t="s">
        <v>1653</v>
      </c>
      <c r="E531" s="3" t="s">
        <v>1654</v>
      </c>
      <c r="F531" s="3" t="s">
        <v>124</v>
      </c>
      <c r="G531" s="3" t="s">
        <v>73</v>
      </c>
      <c r="H531" s="3" t="s">
        <v>21</v>
      </c>
      <c r="I531" s="3">
        <v>110</v>
      </c>
      <c r="J531" s="3" t="s">
        <v>81</v>
      </c>
      <c r="K531" s="3" t="s">
        <v>11</v>
      </c>
      <c r="L531" s="3" t="s">
        <v>97</v>
      </c>
      <c r="M531" s="4">
        <v>79900</v>
      </c>
      <c r="N531" s="5">
        <v>10.1</v>
      </c>
      <c r="O531" s="4">
        <f t="shared" si="16"/>
        <v>8069.9</v>
      </c>
      <c r="P531" s="4">
        <f t="shared" si="17"/>
        <v>71830.100000000006</v>
      </c>
      <c r="Q531" s="3" t="s">
        <v>36</v>
      </c>
      <c r="R531" s="3" t="s">
        <v>67</v>
      </c>
      <c r="S531" s="3" t="s">
        <v>68</v>
      </c>
      <c r="T531" s="3" t="s">
        <v>26</v>
      </c>
    </row>
    <row r="532" spans="1:20" ht="15" customHeight="1" x14ac:dyDescent="0.3">
      <c r="A532" s="3" t="s">
        <v>1655</v>
      </c>
      <c r="B532" s="3" t="s">
        <v>158</v>
      </c>
      <c r="C532" s="3" t="s">
        <v>10</v>
      </c>
      <c r="D532" s="3" t="s">
        <v>1656</v>
      </c>
      <c r="E532" s="3" t="s">
        <v>1657</v>
      </c>
      <c r="F532" s="3" t="s">
        <v>134</v>
      </c>
      <c r="G532" s="3" t="s">
        <v>95</v>
      </c>
      <c r="H532" s="3" t="s">
        <v>22</v>
      </c>
      <c r="I532" s="3">
        <v>0</v>
      </c>
      <c r="J532" s="3" t="s">
        <v>164</v>
      </c>
      <c r="K532" s="3" t="s">
        <v>5</v>
      </c>
      <c r="L532" s="3" t="s">
        <v>136</v>
      </c>
      <c r="M532" s="4">
        <v>139999</v>
      </c>
      <c r="N532" s="5">
        <v>4.3</v>
      </c>
      <c r="O532" s="4">
        <f t="shared" si="16"/>
        <v>6019.9569999999994</v>
      </c>
      <c r="P532" s="4">
        <f t="shared" si="17"/>
        <v>133979.04300000001</v>
      </c>
      <c r="Q532" s="3" t="s">
        <v>38</v>
      </c>
      <c r="R532" s="3" t="s">
        <v>67</v>
      </c>
      <c r="S532" s="3" t="s">
        <v>67</v>
      </c>
      <c r="T532" s="3" t="s">
        <v>26</v>
      </c>
    </row>
    <row r="533" spans="1:20" ht="15" customHeight="1" x14ac:dyDescent="0.3">
      <c r="A533" s="3" t="s">
        <v>1658</v>
      </c>
      <c r="B533" s="3" t="s">
        <v>234</v>
      </c>
      <c r="C533" s="3" t="s">
        <v>14</v>
      </c>
      <c r="D533" s="3" t="s">
        <v>1659</v>
      </c>
      <c r="E533" s="3" t="s">
        <v>1660</v>
      </c>
      <c r="F533" s="3" t="s">
        <v>134</v>
      </c>
      <c r="G533" s="3" t="s">
        <v>256</v>
      </c>
      <c r="H533" s="3" t="s">
        <v>21</v>
      </c>
      <c r="I533" s="3">
        <v>110</v>
      </c>
      <c r="J533" s="3" t="s">
        <v>179</v>
      </c>
      <c r="K533" s="3" t="s">
        <v>5</v>
      </c>
      <c r="L533" s="3" t="s">
        <v>82</v>
      </c>
      <c r="M533" s="4">
        <v>80900</v>
      </c>
      <c r="N533" s="5">
        <v>13.8</v>
      </c>
      <c r="O533" s="4">
        <f t="shared" si="16"/>
        <v>11164.2</v>
      </c>
      <c r="P533" s="4">
        <f t="shared" si="17"/>
        <v>69735.8</v>
      </c>
      <c r="Q533" s="3" t="s">
        <v>38</v>
      </c>
      <c r="R533" s="3" t="s">
        <v>67</v>
      </c>
      <c r="S533" s="3" t="s">
        <v>68</v>
      </c>
      <c r="T533" s="3" t="s">
        <v>32</v>
      </c>
    </row>
    <row r="534" spans="1:20" ht="15" customHeight="1" x14ac:dyDescent="0.3">
      <c r="A534" s="3" t="s">
        <v>1661</v>
      </c>
      <c r="B534" s="3" t="s">
        <v>732</v>
      </c>
      <c r="C534" s="3" t="s">
        <v>8</v>
      </c>
      <c r="D534" s="3" t="s">
        <v>1662</v>
      </c>
      <c r="E534" s="3" t="s">
        <v>1663</v>
      </c>
      <c r="F534" s="3" t="s">
        <v>145</v>
      </c>
      <c r="G534" s="3" t="s">
        <v>324</v>
      </c>
      <c r="H534" s="3" t="s">
        <v>19</v>
      </c>
      <c r="I534" s="3">
        <v>149</v>
      </c>
      <c r="J534" s="3" t="s">
        <v>65</v>
      </c>
      <c r="K534" s="3" t="s">
        <v>3</v>
      </c>
      <c r="L534" s="3" t="s">
        <v>90</v>
      </c>
      <c r="M534" s="4">
        <v>119900</v>
      </c>
      <c r="N534" s="5">
        <v>4.5999999999999996</v>
      </c>
      <c r="O534" s="4">
        <f t="shared" si="16"/>
        <v>5515.4</v>
      </c>
      <c r="P534" s="4">
        <f t="shared" si="17"/>
        <v>114384.6</v>
      </c>
      <c r="Q534" s="3" t="s">
        <v>28</v>
      </c>
      <c r="R534" s="3" t="s">
        <v>67</v>
      </c>
      <c r="S534" s="3" t="s">
        <v>67</v>
      </c>
      <c r="T534" s="3" t="s">
        <v>26</v>
      </c>
    </row>
    <row r="535" spans="1:20" ht="15" customHeight="1" x14ac:dyDescent="0.3">
      <c r="A535" s="3" t="s">
        <v>1664</v>
      </c>
      <c r="B535" s="3" t="s">
        <v>300</v>
      </c>
      <c r="C535" s="3" t="s">
        <v>12</v>
      </c>
      <c r="D535" s="3" t="s">
        <v>1665</v>
      </c>
      <c r="E535" s="3" t="s">
        <v>1666</v>
      </c>
      <c r="F535" s="3" t="s">
        <v>117</v>
      </c>
      <c r="G535" s="3" t="s">
        <v>184</v>
      </c>
      <c r="H535" s="3" t="s">
        <v>18</v>
      </c>
      <c r="I535" s="3">
        <v>125</v>
      </c>
      <c r="J535" s="3" t="s">
        <v>89</v>
      </c>
      <c r="K535" s="3" t="s">
        <v>11</v>
      </c>
      <c r="L535" s="3" t="s">
        <v>206</v>
      </c>
      <c r="M535" s="4">
        <v>79900</v>
      </c>
      <c r="N535" s="5">
        <v>5.0999999999999996</v>
      </c>
      <c r="O535" s="4">
        <f t="shared" si="16"/>
        <v>4074.9</v>
      </c>
      <c r="P535" s="4">
        <f t="shared" si="17"/>
        <v>75825.100000000006</v>
      </c>
      <c r="Q535" s="3" t="s">
        <v>34</v>
      </c>
      <c r="R535" s="3" t="s">
        <v>67</v>
      </c>
      <c r="S535" s="3" t="s">
        <v>67</v>
      </c>
      <c r="T535" s="3" t="s">
        <v>26</v>
      </c>
    </row>
    <row r="536" spans="1:20" ht="15" customHeight="1" x14ac:dyDescent="0.3">
      <c r="A536" s="3" t="s">
        <v>1667</v>
      </c>
      <c r="B536" s="3" t="s">
        <v>1023</v>
      </c>
      <c r="C536" s="3" t="s">
        <v>8</v>
      </c>
      <c r="D536" s="3" t="s">
        <v>403</v>
      </c>
      <c r="E536" s="3" t="s">
        <v>1668</v>
      </c>
      <c r="F536" s="3" t="s">
        <v>134</v>
      </c>
      <c r="G536" s="3" t="s">
        <v>146</v>
      </c>
      <c r="H536" s="3" t="s">
        <v>18</v>
      </c>
      <c r="I536" s="3">
        <v>110</v>
      </c>
      <c r="J536" s="3" t="s">
        <v>65</v>
      </c>
      <c r="K536" s="3" t="s">
        <v>3</v>
      </c>
      <c r="L536" s="3" t="s">
        <v>82</v>
      </c>
      <c r="M536" s="4">
        <v>74900</v>
      </c>
      <c r="N536" s="5">
        <v>5.0999999999999996</v>
      </c>
      <c r="O536" s="4">
        <f t="shared" si="16"/>
        <v>3819.9</v>
      </c>
      <c r="P536" s="4">
        <f t="shared" si="17"/>
        <v>71080.100000000006</v>
      </c>
      <c r="Q536" s="3" t="s">
        <v>31</v>
      </c>
      <c r="R536" s="3" t="s">
        <v>67</v>
      </c>
      <c r="S536" s="3" t="s">
        <v>67</v>
      </c>
      <c r="T536" s="3" t="s">
        <v>32</v>
      </c>
    </row>
    <row r="537" spans="1:20" ht="15" customHeight="1" x14ac:dyDescent="0.3">
      <c r="A537" s="3" t="s">
        <v>1669</v>
      </c>
      <c r="B537" s="3" t="s">
        <v>380</v>
      </c>
      <c r="C537" s="3" t="s">
        <v>0</v>
      </c>
      <c r="D537" s="3" t="s">
        <v>1670</v>
      </c>
      <c r="E537" s="3" t="s">
        <v>1671</v>
      </c>
      <c r="F537" s="3" t="s">
        <v>145</v>
      </c>
      <c r="G537" s="3" t="s">
        <v>135</v>
      </c>
      <c r="H537" s="3" t="s">
        <v>19</v>
      </c>
      <c r="I537" s="3">
        <v>160</v>
      </c>
      <c r="J537" s="3" t="s">
        <v>243</v>
      </c>
      <c r="K537" s="3" t="s">
        <v>9</v>
      </c>
      <c r="L537" s="3" t="s">
        <v>90</v>
      </c>
      <c r="M537" s="4">
        <v>124900</v>
      </c>
      <c r="N537" s="5">
        <v>6.9</v>
      </c>
      <c r="O537" s="4">
        <f t="shared" si="16"/>
        <v>8618.1</v>
      </c>
      <c r="P537" s="4">
        <f t="shared" si="17"/>
        <v>116281.9</v>
      </c>
      <c r="Q537" s="3" t="s">
        <v>40</v>
      </c>
      <c r="R537" s="3" t="s">
        <v>67</v>
      </c>
      <c r="S537" s="3" t="s">
        <v>68</v>
      </c>
      <c r="T537" s="3" t="s">
        <v>26</v>
      </c>
    </row>
    <row r="538" spans="1:20" ht="15" customHeight="1" x14ac:dyDescent="0.3">
      <c r="A538" s="3" t="s">
        <v>1672</v>
      </c>
      <c r="B538" s="3" t="s">
        <v>203</v>
      </c>
      <c r="C538" s="3" t="s">
        <v>10</v>
      </c>
      <c r="D538" s="3" t="s">
        <v>1241</v>
      </c>
      <c r="E538" s="3" t="s">
        <v>1673</v>
      </c>
      <c r="F538" s="3" t="s">
        <v>155</v>
      </c>
      <c r="G538" s="3" t="s">
        <v>324</v>
      </c>
      <c r="H538" s="3" t="s">
        <v>19</v>
      </c>
      <c r="I538" s="3">
        <v>149</v>
      </c>
      <c r="J538" s="3" t="s">
        <v>65</v>
      </c>
      <c r="K538" s="3" t="s">
        <v>5</v>
      </c>
      <c r="L538" s="3" t="s">
        <v>97</v>
      </c>
      <c r="M538" s="4">
        <v>119900</v>
      </c>
      <c r="N538" s="5">
        <v>12.9</v>
      </c>
      <c r="O538" s="4">
        <f t="shared" si="16"/>
        <v>15467.1</v>
      </c>
      <c r="P538" s="4">
        <f t="shared" si="17"/>
        <v>104432.9</v>
      </c>
      <c r="Q538" s="3" t="s">
        <v>34</v>
      </c>
      <c r="R538" s="3" t="s">
        <v>67</v>
      </c>
      <c r="S538" s="3" t="s">
        <v>68</v>
      </c>
      <c r="T538" s="3" t="s">
        <v>26</v>
      </c>
    </row>
    <row r="539" spans="1:20" ht="15" customHeight="1" x14ac:dyDescent="0.3">
      <c r="A539" s="3" t="s">
        <v>1674</v>
      </c>
      <c r="B539" s="3" t="s">
        <v>234</v>
      </c>
      <c r="C539" s="3" t="s">
        <v>14</v>
      </c>
      <c r="D539" s="3" t="s">
        <v>1675</v>
      </c>
      <c r="E539" s="3" t="s">
        <v>1676</v>
      </c>
      <c r="F539" s="3" t="s">
        <v>174</v>
      </c>
      <c r="G539" s="3" t="s">
        <v>135</v>
      </c>
      <c r="H539" s="3" t="s">
        <v>19</v>
      </c>
      <c r="I539" s="3">
        <v>160</v>
      </c>
      <c r="J539" s="3" t="s">
        <v>89</v>
      </c>
      <c r="K539" s="3" t="s">
        <v>11</v>
      </c>
      <c r="L539" s="3" t="s">
        <v>103</v>
      </c>
      <c r="M539" s="4">
        <v>124900</v>
      </c>
      <c r="N539" s="5">
        <v>12.4</v>
      </c>
      <c r="O539" s="4">
        <f t="shared" si="16"/>
        <v>15487.6</v>
      </c>
      <c r="P539" s="4">
        <f t="shared" si="17"/>
        <v>109412.4</v>
      </c>
      <c r="Q539" s="3" t="s">
        <v>38</v>
      </c>
      <c r="R539" s="3" t="s">
        <v>67</v>
      </c>
      <c r="S539" s="3" t="s">
        <v>67</v>
      </c>
      <c r="T539" s="3" t="s">
        <v>26</v>
      </c>
    </row>
    <row r="540" spans="1:20" ht="15" customHeight="1" x14ac:dyDescent="0.3">
      <c r="A540" s="3" t="s">
        <v>1677</v>
      </c>
      <c r="B540" s="3" t="s">
        <v>1010</v>
      </c>
      <c r="C540" s="3" t="s">
        <v>6</v>
      </c>
      <c r="D540" s="3" t="s">
        <v>1678</v>
      </c>
      <c r="E540" s="3" t="s">
        <v>1679</v>
      </c>
      <c r="F540" s="3" t="s">
        <v>63</v>
      </c>
      <c r="G540" s="3" t="s">
        <v>73</v>
      </c>
      <c r="H540" s="3" t="s">
        <v>21</v>
      </c>
      <c r="I540" s="3">
        <v>110</v>
      </c>
      <c r="J540" s="3" t="s">
        <v>129</v>
      </c>
      <c r="K540" s="3" t="s">
        <v>1</v>
      </c>
      <c r="L540" s="3" t="s">
        <v>74</v>
      </c>
      <c r="M540" s="4">
        <v>79900</v>
      </c>
      <c r="N540" s="5">
        <v>7.2</v>
      </c>
      <c r="O540" s="4">
        <f t="shared" si="16"/>
        <v>5752.8</v>
      </c>
      <c r="P540" s="4">
        <f t="shared" si="17"/>
        <v>74147.199999999997</v>
      </c>
      <c r="Q540" s="3" t="s">
        <v>31</v>
      </c>
      <c r="R540" s="3" t="s">
        <v>67</v>
      </c>
      <c r="S540" s="3" t="s">
        <v>67</v>
      </c>
      <c r="T540" s="3" t="s">
        <v>29</v>
      </c>
    </row>
    <row r="541" spans="1:20" ht="15" customHeight="1" x14ac:dyDescent="0.3">
      <c r="A541" s="3" t="s">
        <v>1680</v>
      </c>
      <c r="B541" s="3" t="s">
        <v>759</v>
      </c>
      <c r="C541" s="3" t="s">
        <v>8</v>
      </c>
      <c r="D541" s="3" t="s">
        <v>698</v>
      </c>
      <c r="E541" s="3" t="s">
        <v>1681</v>
      </c>
      <c r="F541" s="3" t="s">
        <v>112</v>
      </c>
      <c r="G541" s="3" t="s">
        <v>135</v>
      </c>
      <c r="H541" s="3" t="s">
        <v>19</v>
      </c>
      <c r="I541" s="3">
        <v>160</v>
      </c>
      <c r="J541" s="3" t="s">
        <v>81</v>
      </c>
      <c r="K541" s="3" t="s">
        <v>3</v>
      </c>
      <c r="L541" s="3" t="s">
        <v>136</v>
      </c>
      <c r="M541" s="4">
        <v>124900</v>
      </c>
      <c r="N541" s="5">
        <v>5.9</v>
      </c>
      <c r="O541" s="4">
        <f t="shared" si="16"/>
        <v>7369.1</v>
      </c>
      <c r="P541" s="4">
        <f t="shared" si="17"/>
        <v>117530.9</v>
      </c>
      <c r="Q541" s="3" t="s">
        <v>38</v>
      </c>
      <c r="R541" s="3" t="s">
        <v>67</v>
      </c>
      <c r="S541" s="3" t="s">
        <v>68</v>
      </c>
      <c r="T541" s="3" t="s">
        <v>32</v>
      </c>
    </row>
    <row r="542" spans="1:20" ht="15" customHeight="1" x14ac:dyDescent="0.3">
      <c r="A542" s="3" t="s">
        <v>1682</v>
      </c>
      <c r="B542" s="3" t="s">
        <v>573</v>
      </c>
      <c r="C542" s="3" t="s">
        <v>12</v>
      </c>
      <c r="D542" s="3" t="s">
        <v>1200</v>
      </c>
      <c r="E542" s="3" t="s">
        <v>1683</v>
      </c>
      <c r="F542" s="3" t="s">
        <v>155</v>
      </c>
      <c r="G542" s="3" t="s">
        <v>95</v>
      </c>
      <c r="H542" s="3" t="s">
        <v>22</v>
      </c>
      <c r="I542" s="3">
        <v>0</v>
      </c>
      <c r="J542" s="3" t="s">
        <v>179</v>
      </c>
      <c r="K542" s="3" t="s">
        <v>1</v>
      </c>
      <c r="L542" s="3" t="s">
        <v>136</v>
      </c>
      <c r="M542" s="4">
        <v>139999</v>
      </c>
      <c r="N542" s="5">
        <v>12.4</v>
      </c>
      <c r="O542" s="4">
        <f t="shared" si="16"/>
        <v>17359.876</v>
      </c>
      <c r="P542" s="4">
        <f t="shared" si="17"/>
        <v>122639.124</v>
      </c>
      <c r="Q542" s="3" t="s">
        <v>40</v>
      </c>
      <c r="R542" s="3" t="s">
        <v>67</v>
      </c>
      <c r="S542" s="3" t="s">
        <v>68</v>
      </c>
      <c r="T542" s="3" t="s">
        <v>26</v>
      </c>
    </row>
    <row r="543" spans="1:20" ht="15" customHeight="1" x14ac:dyDescent="0.3">
      <c r="A543" s="3" t="s">
        <v>1684</v>
      </c>
      <c r="B543" s="3" t="s">
        <v>84</v>
      </c>
      <c r="C543" s="3" t="s">
        <v>17</v>
      </c>
      <c r="D543" s="3" t="s">
        <v>385</v>
      </c>
      <c r="E543" s="3" t="s">
        <v>1685</v>
      </c>
      <c r="F543" s="3" t="s">
        <v>112</v>
      </c>
      <c r="G543" s="3" t="s">
        <v>88</v>
      </c>
      <c r="H543" s="3" t="s">
        <v>18</v>
      </c>
      <c r="I543" s="3">
        <v>125</v>
      </c>
      <c r="J543" s="3" t="s">
        <v>243</v>
      </c>
      <c r="K543" s="3" t="s">
        <v>5</v>
      </c>
      <c r="L543" s="3" t="s">
        <v>82</v>
      </c>
      <c r="M543" s="4">
        <v>94900</v>
      </c>
      <c r="N543" s="5">
        <v>4.5999999999999996</v>
      </c>
      <c r="O543" s="4">
        <f t="shared" si="16"/>
        <v>4365.3999999999996</v>
      </c>
      <c r="P543" s="4">
        <f t="shared" si="17"/>
        <v>90534.6</v>
      </c>
      <c r="Q543" s="3" t="s">
        <v>28</v>
      </c>
      <c r="R543" s="3" t="s">
        <v>67</v>
      </c>
      <c r="S543" s="3" t="s">
        <v>68</v>
      </c>
      <c r="T543" s="3" t="s">
        <v>29</v>
      </c>
    </row>
    <row r="544" spans="1:20" ht="15" customHeight="1" x14ac:dyDescent="0.3">
      <c r="A544" s="3" t="s">
        <v>1686</v>
      </c>
      <c r="B544" s="3" t="s">
        <v>76</v>
      </c>
      <c r="C544" s="3" t="s">
        <v>4</v>
      </c>
      <c r="D544" s="3" t="s">
        <v>1159</v>
      </c>
      <c r="E544" s="3" t="s">
        <v>1687</v>
      </c>
      <c r="F544" s="3" t="s">
        <v>134</v>
      </c>
      <c r="G544" s="3" t="s">
        <v>73</v>
      </c>
      <c r="H544" s="3" t="s">
        <v>21</v>
      </c>
      <c r="I544" s="3">
        <v>110</v>
      </c>
      <c r="J544" s="3" t="s">
        <v>89</v>
      </c>
      <c r="K544" s="3" t="s">
        <v>5</v>
      </c>
      <c r="L544" s="3" t="s">
        <v>97</v>
      </c>
      <c r="M544" s="4">
        <v>79900</v>
      </c>
      <c r="N544" s="5">
        <v>9.4</v>
      </c>
      <c r="O544" s="4">
        <f t="shared" si="16"/>
        <v>7510.6</v>
      </c>
      <c r="P544" s="4">
        <f t="shared" si="17"/>
        <v>72389.399999999994</v>
      </c>
      <c r="Q544" s="3" t="s">
        <v>40</v>
      </c>
      <c r="R544" s="3" t="s">
        <v>67</v>
      </c>
      <c r="S544" s="3" t="s">
        <v>67</v>
      </c>
      <c r="T544" s="3" t="s">
        <v>26</v>
      </c>
    </row>
    <row r="545" spans="1:20" ht="15" customHeight="1" x14ac:dyDescent="0.3">
      <c r="A545" s="3" t="s">
        <v>1688</v>
      </c>
      <c r="B545" s="3" t="s">
        <v>191</v>
      </c>
      <c r="C545" s="3" t="s">
        <v>14</v>
      </c>
      <c r="D545" s="3" t="s">
        <v>1241</v>
      </c>
      <c r="E545" s="3" t="s">
        <v>1689</v>
      </c>
      <c r="F545" s="3" t="s">
        <v>79</v>
      </c>
      <c r="G545" s="3" t="s">
        <v>135</v>
      </c>
      <c r="H545" s="3" t="s">
        <v>19</v>
      </c>
      <c r="I545" s="3">
        <v>160</v>
      </c>
      <c r="J545" s="3" t="s">
        <v>179</v>
      </c>
      <c r="K545" s="3" t="s">
        <v>5</v>
      </c>
      <c r="L545" s="3" t="s">
        <v>103</v>
      </c>
      <c r="M545" s="4">
        <v>124900</v>
      </c>
      <c r="N545" s="5">
        <v>13.4</v>
      </c>
      <c r="O545" s="4">
        <f t="shared" si="16"/>
        <v>16736.599999999999</v>
      </c>
      <c r="P545" s="4">
        <f t="shared" si="17"/>
        <v>108163.4</v>
      </c>
      <c r="Q545" s="3" t="s">
        <v>25</v>
      </c>
      <c r="R545" s="3" t="s">
        <v>68</v>
      </c>
      <c r="S545" s="3" t="s">
        <v>67</v>
      </c>
      <c r="T545" s="3" t="s">
        <v>26</v>
      </c>
    </row>
    <row r="546" spans="1:20" ht="15" customHeight="1" x14ac:dyDescent="0.3">
      <c r="A546" s="3" t="s">
        <v>1690</v>
      </c>
      <c r="B546" s="3" t="s">
        <v>114</v>
      </c>
      <c r="C546" s="3" t="s">
        <v>4</v>
      </c>
      <c r="D546" s="3" t="s">
        <v>345</v>
      </c>
      <c r="E546" s="3" t="s">
        <v>1691</v>
      </c>
      <c r="F546" s="3" t="s">
        <v>174</v>
      </c>
      <c r="G546" s="3" t="s">
        <v>135</v>
      </c>
      <c r="H546" s="3" t="s">
        <v>19</v>
      </c>
      <c r="I546" s="3">
        <v>160</v>
      </c>
      <c r="J546" s="3" t="s">
        <v>102</v>
      </c>
      <c r="K546" s="3" t="s">
        <v>5</v>
      </c>
      <c r="L546" s="3" t="s">
        <v>103</v>
      </c>
      <c r="M546" s="4">
        <v>124900</v>
      </c>
      <c r="N546" s="5">
        <v>10.8</v>
      </c>
      <c r="O546" s="4">
        <f t="shared" si="16"/>
        <v>13489.2</v>
      </c>
      <c r="P546" s="4">
        <f t="shared" si="17"/>
        <v>111410.8</v>
      </c>
      <c r="Q546" s="3" t="s">
        <v>40</v>
      </c>
      <c r="R546" s="3" t="s">
        <v>67</v>
      </c>
      <c r="S546" s="3" t="s">
        <v>68</v>
      </c>
      <c r="T546" s="3" t="s">
        <v>26</v>
      </c>
    </row>
    <row r="547" spans="1:20" ht="15" customHeight="1" x14ac:dyDescent="0.3">
      <c r="A547" s="3" t="s">
        <v>1692</v>
      </c>
      <c r="B547" s="3" t="s">
        <v>826</v>
      </c>
      <c r="C547" s="3" t="s">
        <v>0</v>
      </c>
      <c r="D547" s="3" t="s">
        <v>1550</v>
      </c>
      <c r="E547" s="3" t="s">
        <v>1693</v>
      </c>
      <c r="F547" s="3" t="s">
        <v>63</v>
      </c>
      <c r="G547" s="3" t="s">
        <v>95</v>
      </c>
      <c r="H547" s="3" t="s">
        <v>22</v>
      </c>
      <c r="I547" s="3">
        <v>0</v>
      </c>
      <c r="J547" s="3" t="s">
        <v>129</v>
      </c>
      <c r="K547" s="3" t="s">
        <v>5</v>
      </c>
      <c r="L547" s="3" t="s">
        <v>74</v>
      </c>
      <c r="M547" s="4">
        <v>139999</v>
      </c>
      <c r="N547" s="5">
        <v>11.2</v>
      </c>
      <c r="O547" s="4">
        <f t="shared" si="16"/>
        <v>15679.887999999999</v>
      </c>
      <c r="P547" s="4">
        <f t="shared" si="17"/>
        <v>124319.11199999999</v>
      </c>
      <c r="Q547" s="3" t="s">
        <v>36</v>
      </c>
      <c r="R547" s="3" t="s">
        <v>67</v>
      </c>
      <c r="S547" s="3" t="s">
        <v>67</v>
      </c>
      <c r="T547" s="3" t="s">
        <v>32</v>
      </c>
    </row>
    <row r="548" spans="1:20" ht="15" customHeight="1" x14ac:dyDescent="0.3">
      <c r="A548" s="3" t="s">
        <v>1694</v>
      </c>
      <c r="B548" s="3" t="s">
        <v>176</v>
      </c>
      <c r="C548" s="3" t="s">
        <v>10</v>
      </c>
      <c r="D548" s="3" t="s">
        <v>1695</v>
      </c>
      <c r="E548" s="3" t="s">
        <v>1696</v>
      </c>
      <c r="F548" s="3" t="s">
        <v>174</v>
      </c>
      <c r="G548" s="3" t="s">
        <v>316</v>
      </c>
      <c r="H548" s="3" t="s">
        <v>19</v>
      </c>
      <c r="I548" s="3">
        <v>150</v>
      </c>
      <c r="J548" s="3" t="s">
        <v>119</v>
      </c>
      <c r="K548" s="3" t="s">
        <v>11</v>
      </c>
      <c r="L548" s="3" t="s">
        <v>74</v>
      </c>
      <c r="M548" s="4">
        <v>109900</v>
      </c>
      <c r="N548" s="5">
        <v>3.5</v>
      </c>
      <c r="O548" s="4">
        <f t="shared" si="16"/>
        <v>3846.5</v>
      </c>
      <c r="P548" s="4">
        <f t="shared" si="17"/>
        <v>106053.5</v>
      </c>
      <c r="Q548" s="3" t="s">
        <v>28</v>
      </c>
      <c r="R548" s="3" t="s">
        <v>67</v>
      </c>
      <c r="S548" s="3" t="s">
        <v>67</v>
      </c>
      <c r="T548" s="3" t="s">
        <v>32</v>
      </c>
    </row>
    <row r="549" spans="1:20" ht="15" customHeight="1" x14ac:dyDescent="0.3">
      <c r="A549" s="3" t="s">
        <v>1697</v>
      </c>
      <c r="B549" s="3" t="s">
        <v>528</v>
      </c>
      <c r="C549" s="3" t="s">
        <v>12</v>
      </c>
      <c r="D549" s="3" t="s">
        <v>1698</v>
      </c>
      <c r="E549" s="3" t="s">
        <v>1699</v>
      </c>
      <c r="F549" s="3" t="s">
        <v>63</v>
      </c>
      <c r="G549" s="3" t="s">
        <v>211</v>
      </c>
      <c r="H549" s="3" t="s">
        <v>20</v>
      </c>
      <c r="I549" s="3">
        <v>350</v>
      </c>
      <c r="J549" s="3" t="s">
        <v>96</v>
      </c>
      <c r="K549" s="3" t="s">
        <v>11</v>
      </c>
      <c r="L549" s="3" t="s">
        <v>136</v>
      </c>
      <c r="M549" s="4">
        <v>199900</v>
      </c>
      <c r="N549" s="5">
        <v>14.2</v>
      </c>
      <c r="O549" s="4">
        <f t="shared" si="16"/>
        <v>28385.8</v>
      </c>
      <c r="P549" s="4">
        <f t="shared" si="17"/>
        <v>171514.2</v>
      </c>
      <c r="Q549" s="3" t="s">
        <v>38</v>
      </c>
      <c r="R549" s="3" t="s">
        <v>68</v>
      </c>
      <c r="S549" s="3" t="s">
        <v>68</v>
      </c>
      <c r="T549" s="3" t="s">
        <v>26</v>
      </c>
    </row>
    <row r="550" spans="1:20" ht="15" customHeight="1" x14ac:dyDescent="0.3">
      <c r="A550" s="3" t="s">
        <v>1700</v>
      </c>
      <c r="B550" s="3" t="s">
        <v>482</v>
      </c>
      <c r="C550" s="3" t="s">
        <v>6</v>
      </c>
      <c r="D550" s="3" t="s">
        <v>1701</v>
      </c>
      <c r="E550" s="3" t="s">
        <v>1702</v>
      </c>
      <c r="F550" s="3" t="s">
        <v>112</v>
      </c>
      <c r="G550" s="3" t="s">
        <v>146</v>
      </c>
      <c r="H550" s="3" t="s">
        <v>18</v>
      </c>
      <c r="I550" s="3">
        <v>110</v>
      </c>
      <c r="J550" s="3" t="s">
        <v>65</v>
      </c>
      <c r="K550" s="3" t="s">
        <v>7</v>
      </c>
      <c r="L550" s="3" t="s">
        <v>90</v>
      </c>
      <c r="M550" s="4">
        <v>74900</v>
      </c>
      <c r="N550" s="5">
        <v>12.7</v>
      </c>
      <c r="O550" s="4">
        <f t="shared" si="16"/>
        <v>9512.2999999999993</v>
      </c>
      <c r="P550" s="4">
        <f t="shared" si="17"/>
        <v>65387.7</v>
      </c>
      <c r="Q550" s="3" t="s">
        <v>31</v>
      </c>
      <c r="R550" s="3" t="s">
        <v>68</v>
      </c>
      <c r="S550" s="3" t="s">
        <v>68</v>
      </c>
      <c r="T550" s="3" t="s">
        <v>26</v>
      </c>
    </row>
    <row r="551" spans="1:20" ht="15" customHeight="1" x14ac:dyDescent="0.3">
      <c r="A551" s="3" t="s">
        <v>1703</v>
      </c>
      <c r="B551" s="3" t="s">
        <v>148</v>
      </c>
      <c r="C551" s="3" t="s">
        <v>8</v>
      </c>
      <c r="D551" s="3" t="s">
        <v>1238</v>
      </c>
      <c r="E551" s="3" t="s">
        <v>1704</v>
      </c>
      <c r="F551" s="3" t="s">
        <v>112</v>
      </c>
      <c r="G551" s="3" t="s">
        <v>222</v>
      </c>
      <c r="H551" s="3" t="s">
        <v>19</v>
      </c>
      <c r="I551" s="3">
        <v>155</v>
      </c>
      <c r="J551" s="3" t="s">
        <v>179</v>
      </c>
      <c r="K551" s="3" t="s">
        <v>9</v>
      </c>
      <c r="L551" s="3" t="s">
        <v>103</v>
      </c>
      <c r="M551" s="4">
        <v>167900</v>
      </c>
      <c r="N551" s="5">
        <v>14.5</v>
      </c>
      <c r="O551" s="4">
        <f t="shared" si="16"/>
        <v>24345.5</v>
      </c>
      <c r="P551" s="4">
        <f t="shared" si="17"/>
        <v>143554.5</v>
      </c>
      <c r="Q551" s="3" t="s">
        <v>38</v>
      </c>
      <c r="R551" s="3" t="s">
        <v>68</v>
      </c>
      <c r="S551" s="3" t="s">
        <v>67</v>
      </c>
      <c r="T551" s="3" t="s">
        <v>26</v>
      </c>
    </row>
    <row r="552" spans="1:20" ht="15" customHeight="1" x14ac:dyDescent="0.3">
      <c r="A552" s="3" t="s">
        <v>1705</v>
      </c>
      <c r="B552" s="3" t="s">
        <v>249</v>
      </c>
      <c r="C552" s="3" t="s">
        <v>13</v>
      </c>
      <c r="D552" s="3" t="s">
        <v>1706</v>
      </c>
      <c r="E552" s="3" t="s">
        <v>1707</v>
      </c>
      <c r="F552" s="3" t="s">
        <v>87</v>
      </c>
      <c r="G552" s="3" t="s">
        <v>118</v>
      </c>
      <c r="H552" s="3" t="s">
        <v>20</v>
      </c>
      <c r="I552" s="3">
        <v>350</v>
      </c>
      <c r="J552" s="3" t="s">
        <v>102</v>
      </c>
      <c r="K552" s="3" t="s">
        <v>9</v>
      </c>
      <c r="L552" s="3" t="s">
        <v>136</v>
      </c>
      <c r="M552" s="4">
        <v>159900</v>
      </c>
      <c r="N552" s="5">
        <v>10.8</v>
      </c>
      <c r="O552" s="4">
        <f t="shared" si="16"/>
        <v>17269.2</v>
      </c>
      <c r="P552" s="4">
        <f t="shared" si="17"/>
        <v>142630.79999999999</v>
      </c>
      <c r="Q552" s="3" t="s">
        <v>25</v>
      </c>
      <c r="R552" s="3" t="s">
        <v>68</v>
      </c>
      <c r="S552" s="3" t="s">
        <v>68</v>
      </c>
      <c r="T552" s="3" t="s">
        <v>29</v>
      </c>
    </row>
    <row r="553" spans="1:20" ht="15" customHeight="1" x14ac:dyDescent="0.3">
      <c r="A553" s="3" t="s">
        <v>1708</v>
      </c>
      <c r="B553" s="3" t="s">
        <v>198</v>
      </c>
      <c r="C553" s="3" t="s">
        <v>2</v>
      </c>
      <c r="D553" s="3" t="s">
        <v>615</v>
      </c>
      <c r="E553" s="3" t="s">
        <v>1709</v>
      </c>
      <c r="F553" s="3" t="s">
        <v>87</v>
      </c>
      <c r="G553" s="3" t="s">
        <v>316</v>
      </c>
      <c r="H553" s="3" t="s">
        <v>19</v>
      </c>
      <c r="I553" s="3">
        <v>150</v>
      </c>
      <c r="J553" s="3" t="s">
        <v>96</v>
      </c>
      <c r="K553" s="3" t="s">
        <v>9</v>
      </c>
      <c r="L553" s="3" t="s">
        <v>90</v>
      </c>
      <c r="M553" s="4">
        <v>109900</v>
      </c>
      <c r="N553" s="5">
        <v>10</v>
      </c>
      <c r="O553" s="4">
        <f t="shared" si="16"/>
        <v>10990</v>
      </c>
      <c r="P553" s="4">
        <f t="shared" si="17"/>
        <v>98910</v>
      </c>
      <c r="Q553" s="3" t="s">
        <v>28</v>
      </c>
      <c r="R553" s="3" t="s">
        <v>67</v>
      </c>
      <c r="S553" s="3" t="s">
        <v>68</v>
      </c>
      <c r="T553" s="3" t="s">
        <v>26</v>
      </c>
    </row>
    <row r="554" spans="1:20" ht="15" customHeight="1" x14ac:dyDescent="0.3">
      <c r="A554" s="3" t="s">
        <v>1710</v>
      </c>
      <c r="B554" s="3" t="s">
        <v>276</v>
      </c>
      <c r="C554" s="3" t="s">
        <v>12</v>
      </c>
      <c r="D554" s="3" t="s">
        <v>1711</v>
      </c>
      <c r="E554" s="3" t="s">
        <v>1712</v>
      </c>
      <c r="F554" s="3" t="s">
        <v>112</v>
      </c>
      <c r="G554" s="3" t="s">
        <v>88</v>
      </c>
      <c r="H554" s="3" t="s">
        <v>18</v>
      </c>
      <c r="I554" s="3">
        <v>125</v>
      </c>
      <c r="J554" s="3" t="s">
        <v>89</v>
      </c>
      <c r="K554" s="3" t="s">
        <v>11</v>
      </c>
      <c r="L554" s="3" t="s">
        <v>66</v>
      </c>
      <c r="M554" s="4">
        <v>94900</v>
      </c>
      <c r="N554" s="5">
        <v>14.5</v>
      </c>
      <c r="O554" s="4">
        <f t="shared" si="16"/>
        <v>13760.5</v>
      </c>
      <c r="P554" s="4">
        <f t="shared" si="17"/>
        <v>81139.5</v>
      </c>
      <c r="Q554" s="3" t="s">
        <v>31</v>
      </c>
      <c r="R554" s="3" t="s">
        <v>67</v>
      </c>
      <c r="S554" s="3" t="s">
        <v>68</v>
      </c>
      <c r="T554" s="3" t="s">
        <v>26</v>
      </c>
    </row>
    <row r="555" spans="1:20" ht="15" customHeight="1" x14ac:dyDescent="0.3">
      <c r="A555" s="3" t="s">
        <v>1713</v>
      </c>
      <c r="B555" s="3" t="s">
        <v>380</v>
      </c>
      <c r="C555" s="3" t="s">
        <v>0</v>
      </c>
      <c r="D555" s="3" t="s">
        <v>769</v>
      </c>
      <c r="E555" s="3" t="s">
        <v>1714</v>
      </c>
      <c r="F555" s="3" t="s">
        <v>134</v>
      </c>
      <c r="G555" s="3" t="s">
        <v>201</v>
      </c>
      <c r="H555" s="3" t="s">
        <v>19</v>
      </c>
      <c r="I555" s="3">
        <v>160</v>
      </c>
      <c r="J555" s="3" t="s">
        <v>243</v>
      </c>
      <c r="K555" s="3" t="s">
        <v>11</v>
      </c>
      <c r="L555" s="3" t="s">
        <v>74</v>
      </c>
      <c r="M555" s="4">
        <v>129900</v>
      </c>
      <c r="N555" s="5">
        <v>10.199999999999999</v>
      </c>
      <c r="O555" s="4">
        <f t="shared" si="16"/>
        <v>13249.8</v>
      </c>
      <c r="P555" s="4">
        <f t="shared" si="17"/>
        <v>116650.2</v>
      </c>
      <c r="Q555" s="3" t="s">
        <v>38</v>
      </c>
      <c r="R555" s="3" t="s">
        <v>67</v>
      </c>
      <c r="S555" s="3" t="s">
        <v>67</v>
      </c>
      <c r="T555" s="3" t="s">
        <v>32</v>
      </c>
    </row>
    <row r="556" spans="1:20" ht="15" customHeight="1" x14ac:dyDescent="0.3">
      <c r="A556" s="3" t="s">
        <v>1715</v>
      </c>
      <c r="B556" s="3" t="s">
        <v>639</v>
      </c>
      <c r="C556" s="3" t="s">
        <v>16</v>
      </c>
      <c r="D556" s="3" t="s">
        <v>1277</v>
      </c>
      <c r="E556" s="3" t="s">
        <v>1716</v>
      </c>
      <c r="F556" s="3" t="s">
        <v>124</v>
      </c>
      <c r="G556" s="3" t="s">
        <v>184</v>
      </c>
      <c r="H556" s="3" t="s">
        <v>18</v>
      </c>
      <c r="I556" s="3">
        <v>125</v>
      </c>
      <c r="J556" s="3" t="s">
        <v>164</v>
      </c>
      <c r="K556" s="3" t="s">
        <v>7</v>
      </c>
      <c r="L556" s="3" t="s">
        <v>103</v>
      </c>
      <c r="M556" s="4">
        <v>79900</v>
      </c>
      <c r="N556" s="5">
        <v>5.2</v>
      </c>
      <c r="O556" s="4">
        <f t="shared" si="16"/>
        <v>4154.8</v>
      </c>
      <c r="P556" s="4">
        <f t="shared" si="17"/>
        <v>75745.2</v>
      </c>
      <c r="Q556" s="3" t="s">
        <v>40</v>
      </c>
      <c r="R556" s="3" t="s">
        <v>68</v>
      </c>
      <c r="S556" s="3" t="s">
        <v>67</v>
      </c>
      <c r="T556" s="3" t="s">
        <v>29</v>
      </c>
    </row>
    <row r="557" spans="1:20" ht="15" customHeight="1" x14ac:dyDescent="0.3">
      <c r="A557" s="3" t="s">
        <v>1717</v>
      </c>
      <c r="B557" s="3" t="s">
        <v>92</v>
      </c>
      <c r="C557" s="3" t="s">
        <v>4</v>
      </c>
      <c r="D557" s="3" t="s">
        <v>1718</v>
      </c>
      <c r="E557" s="3" t="s">
        <v>1719</v>
      </c>
      <c r="F557" s="3" t="s">
        <v>79</v>
      </c>
      <c r="G557" s="3" t="s">
        <v>135</v>
      </c>
      <c r="H557" s="3" t="s">
        <v>19</v>
      </c>
      <c r="I557" s="3">
        <v>160</v>
      </c>
      <c r="J557" s="3" t="s">
        <v>102</v>
      </c>
      <c r="K557" s="3" t="s">
        <v>1</v>
      </c>
      <c r="L557" s="3" t="s">
        <v>103</v>
      </c>
      <c r="M557" s="4">
        <v>124900</v>
      </c>
      <c r="N557" s="5">
        <v>14</v>
      </c>
      <c r="O557" s="4">
        <f t="shared" si="16"/>
        <v>17486</v>
      </c>
      <c r="P557" s="4">
        <f t="shared" si="17"/>
        <v>107414</v>
      </c>
      <c r="Q557" s="3" t="s">
        <v>40</v>
      </c>
      <c r="R557" s="3" t="s">
        <v>67</v>
      </c>
      <c r="S557" s="3" t="s">
        <v>67</v>
      </c>
      <c r="T557" s="3" t="s">
        <v>26</v>
      </c>
    </row>
    <row r="558" spans="1:20" ht="15" customHeight="1" x14ac:dyDescent="0.3">
      <c r="A558" s="3" t="s">
        <v>1720</v>
      </c>
      <c r="B558" s="3" t="s">
        <v>138</v>
      </c>
      <c r="C558" s="3" t="s">
        <v>10</v>
      </c>
      <c r="D558" s="3" t="s">
        <v>1721</v>
      </c>
      <c r="E558" s="3" t="s">
        <v>1722</v>
      </c>
      <c r="F558" s="3" t="s">
        <v>155</v>
      </c>
      <c r="G558" s="3" t="s">
        <v>316</v>
      </c>
      <c r="H558" s="3" t="s">
        <v>19</v>
      </c>
      <c r="I558" s="3">
        <v>150</v>
      </c>
      <c r="J558" s="3" t="s">
        <v>96</v>
      </c>
      <c r="K558" s="3" t="s">
        <v>9</v>
      </c>
      <c r="L558" s="3" t="s">
        <v>103</v>
      </c>
      <c r="M558" s="4">
        <v>109900</v>
      </c>
      <c r="N558" s="5">
        <v>14.8</v>
      </c>
      <c r="O558" s="4">
        <f t="shared" si="16"/>
        <v>16265.2</v>
      </c>
      <c r="P558" s="4">
        <f t="shared" si="17"/>
        <v>93634.8</v>
      </c>
      <c r="Q558" s="3" t="s">
        <v>28</v>
      </c>
      <c r="R558" s="3" t="s">
        <v>68</v>
      </c>
      <c r="S558" s="3" t="s">
        <v>68</v>
      </c>
      <c r="T558" s="3" t="s">
        <v>26</v>
      </c>
    </row>
    <row r="559" spans="1:20" ht="15" customHeight="1" x14ac:dyDescent="0.3">
      <c r="A559" s="3" t="s">
        <v>1723</v>
      </c>
      <c r="B559" s="3" t="s">
        <v>528</v>
      </c>
      <c r="C559" s="3" t="s">
        <v>12</v>
      </c>
      <c r="D559" s="3" t="s">
        <v>345</v>
      </c>
      <c r="E559" s="3" t="s">
        <v>1724</v>
      </c>
      <c r="F559" s="3" t="s">
        <v>155</v>
      </c>
      <c r="G559" s="3" t="s">
        <v>316</v>
      </c>
      <c r="H559" s="3" t="s">
        <v>19</v>
      </c>
      <c r="I559" s="3">
        <v>150</v>
      </c>
      <c r="J559" s="3" t="s">
        <v>81</v>
      </c>
      <c r="K559" s="3" t="s">
        <v>5</v>
      </c>
      <c r="L559" s="3" t="s">
        <v>103</v>
      </c>
      <c r="M559" s="4">
        <v>109900</v>
      </c>
      <c r="N559" s="5">
        <v>3.9</v>
      </c>
      <c r="O559" s="4">
        <f t="shared" si="16"/>
        <v>4286.1000000000004</v>
      </c>
      <c r="P559" s="4">
        <f t="shared" si="17"/>
        <v>105613.9</v>
      </c>
      <c r="Q559" s="3" t="s">
        <v>40</v>
      </c>
      <c r="R559" s="3" t="s">
        <v>67</v>
      </c>
      <c r="S559" s="3" t="s">
        <v>67</v>
      </c>
      <c r="T559" s="3" t="s">
        <v>26</v>
      </c>
    </row>
    <row r="560" spans="1:20" ht="15" customHeight="1" x14ac:dyDescent="0.3">
      <c r="A560" s="3" t="s">
        <v>1725</v>
      </c>
      <c r="B560" s="3" t="s">
        <v>826</v>
      </c>
      <c r="C560" s="3" t="s">
        <v>0</v>
      </c>
      <c r="D560" s="3" t="s">
        <v>701</v>
      </c>
      <c r="E560" s="3" t="s">
        <v>1726</v>
      </c>
      <c r="F560" s="3" t="s">
        <v>155</v>
      </c>
      <c r="G560" s="3" t="s">
        <v>64</v>
      </c>
      <c r="H560" s="3" t="s">
        <v>19</v>
      </c>
      <c r="I560" s="3">
        <v>200</v>
      </c>
      <c r="J560" s="3" t="s">
        <v>129</v>
      </c>
      <c r="K560" s="3" t="s">
        <v>9</v>
      </c>
      <c r="L560" s="3" t="s">
        <v>136</v>
      </c>
      <c r="M560" s="4">
        <v>199900</v>
      </c>
      <c r="N560" s="5">
        <v>5.8</v>
      </c>
      <c r="O560" s="4">
        <f t="shared" si="16"/>
        <v>11594.2</v>
      </c>
      <c r="P560" s="4">
        <f t="shared" si="17"/>
        <v>188305.8</v>
      </c>
      <c r="Q560" s="3" t="s">
        <v>31</v>
      </c>
      <c r="R560" s="3" t="s">
        <v>67</v>
      </c>
      <c r="S560" s="3" t="s">
        <v>68</v>
      </c>
      <c r="T560" s="3" t="s">
        <v>32</v>
      </c>
    </row>
    <row r="561" spans="1:20" ht="15" customHeight="1" x14ac:dyDescent="0.3">
      <c r="A561" s="3" t="s">
        <v>1727</v>
      </c>
      <c r="B561" s="3" t="s">
        <v>70</v>
      </c>
      <c r="C561" s="3" t="s">
        <v>2</v>
      </c>
      <c r="D561" s="3" t="s">
        <v>269</v>
      </c>
      <c r="E561" s="3" t="s">
        <v>1728</v>
      </c>
      <c r="F561" s="3" t="s">
        <v>63</v>
      </c>
      <c r="G561" s="3" t="s">
        <v>222</v>
      </c>
      <c r="H561" s="3" t="s">
        <v>19</v>
      </c>
      <c r="I561" s="3">
        <v>155</v>
      </c>
      <c r="J561" s="3" t="s">
        <v>96</v>
      </c>
      <c r="K561" s="3" t="s">
        <v>3</v>
      </c>
      <c r="L561" s="3" t="s">
        <v>82</v>
      </c>
      <c r="M561" s="4">
        <v>167900</v>
      </c>
      <c r="N561" s="5">
        <v>14.1</v>
      </c>
      <c r="O561" s="4">
        <f t="shared" si="16"/>
        <v>23673.9</v>
      </c>
      <c r="P561" s="4">
        <f t="shared" si="17"/>
        <v>144226.1</v>
      </c>
      <c r="Q561" s="3" t="s">
        <v>40</v>
      </c>
      <c r="R561" s="3" t="s">
        <v>67</v>
      </c>
      <c r="S561" s="3" t="s">
        <v>67</v>
      </c>
      <c r="T561" s="3" t="s">
        <v>26</v>
      </c>
    </row>
    <row r="562" spans="1:20" ht="15" customHeight="1" x14ac:dyDescent="0.3">
      <c r="A562" s="3" t="s">
        <v>1729</v>
      </c>
      <c r="B562" s="3" t="s">
        <v>253</v>
      </c>
      <c r="C562" s="3" t="s">
        <v>17</v>
      </c>
      <c r="D562" s="3" t="s">
        <v>502</v>
      </c>
      <c r="E562" s="3" t="s">
        <v>1730</v>
      </c>
      <c r="F562" s="3" t="s">
        <v>79</v>
      </c>
      <c r="G562" s="3" t="s">
        <v>256</v>
      </c>
      <c r="H562" s="3" t="s">
        <v>21</v>
      </c>
      <c r="I562" s="3">
        <v>110</v>
      </c>
      <c r="J562" s="3" t="s">
        <v>164</v>
      </c>
      <c r="K562" s="3" t="s">
        <v>1</v>
      </c>
      <c r="L562" s="3" t="s">
        <v>136</v>
      </c>
      <c r="M562" s="4">
        <v>80900</v>
      </c>
      <c r="N562" s="5">
        <v>4.8</v>
      </c>
      <c r="O562" s="4">
        <f t="shared" si="16"/>
        <v>3883.2</v>
      </c>
      <c r="P562" s="4">
        <f t="shared" si="17"/>
        <v>77016.800000000003</v>
      </c>
      <c r="Q562" s="3" t="s">
        <v>34</v>
      </c>
      <c r="R562" s="3" t="s">
        <v>67</v>
      </c>
      <c r="S562" s="3" t="s">
        <v>68</v>
      </c>
      <c r="T562" s="3" t="s">
        <v>26</v>
      </c>
    </row>
    <row r="563" spans="1:20" ht="15" customHeight="1" x14ac:dyDescent="0.3">
      <c r="A563" s="3" t="s">
        <v>1731</v>
      </c>
      <c r="B563" s="3" t="s">
        <v>300</v>
      </c>
      <c r="C563" s="3" t="s">
        <v>12</v>
      </c>
      <c r="D563" s="3" t="s">
        <v>1732</v>
      </c>
      <c r="E563" s="3" t="s">
        <v>1733</v>
      </c>
      <c r="F563" s="3" t="s">
        <v>63</v>
      </c>
      <c r="G563" s="3" t="s">
        <v>88</v>
      </c>
      <c r="H563" s="3" t="s">
        <v>18</v>
      </c>
      <c r="I563" s="3">
        <v>125</v>
      </c>
      <c r="J563" s="3" t="s">
        <v>179</v>
      </c>
      <c r="K563" s="3" t="s">
        <v>3</v>
      </c>
      <c r="L563" s="3" t="s">
        <v>206</v>
      </c>
      <c r="M563" s="4">
        <v>94900</v>
      </c>
      <c r="N563" s="5">
        <v>8.3000000000000007</v>
      </c>
      <c r="O563" s="4">
        <f t="shared" si="16"/>
        <v>7876.7000000000007</v>
      </c>
      <c r="P563" s="4">
        <f t="shared" si="17"/>
        <v>87023.3</v>
      </c>
      <c r="Q563" s="3" t="s">
        <v>40</v>
      </c>
      <c r="R563" s="3" t="s">
        <v>67</v>
      </c>
      <c r="S563" s="3" t="s">
        <v>67</v>
      </c>
      <c r="T563" s="3" t="s">
        <v>26</v>
      </c>
    </row>
    <row r="564" spans="1:20" ht="15" customHeight="1" x14ac:dyDescent="0.3">
      <c r="A564" s="3" t="s">
        <v>1734</v>
      </c>
      <c r="B564" s="3" t="s">
        <v>826</v>
      </c>
      <c r="C564" s="3" t="s">
        <v>0</v>
      </c>
      <c r="D564" s="3" t="s">
        <v>1735</v>
      </c>
      <c r="E564" s="3" t="s">
        <v>1736</v>
      </c>
      <c r="F564" s="3" t="s">
        <v>174</v>
      </c>
      <c r="G564" s="3" t="s">
        <v>73</v>
      </c>
      <c r="H564" s="3" t="s">
        <v>21</v>
      </c>
      <c r="I564" s="3">
        <v>110</v>
      </c>
      <c r="J564" s="3" t="s">
        <v>119</v>
      </c>
      <c r="K564" s="3" t="s">
        <v>9</v>
      </c>
      <c r="L564" s="3" t="s">
        <v>97</v>
      </c>
      <c r="M564" s="4">
        <v>79900</v>
      </c>
      <c r="N564" s="5">
        <v>14.8</v>
      </c>
      <c r="O564" s="4">
        <f t="shared" si="16"/>
        <v>11825.2</v>
      </c>
      <c r="P564" s="4">
        <f t="shared" si="17"/>
        <v>68074.8</v>
      </c>
      <c r="Q564" s="3" t="s">
        <v>38</v>
      </c>
      <c r="R564" s="3" t="s">
        <v>67</v>
      </c>
      <c r="S564" s="3" t="s">
        <v>68</v>
      </c>
      <c r="T564" s="3" t="s">
        <v>26</v>
      </c>
    </row>
    <row r="565" spans="1:20" ht="15" customHeight="1" x14ac:dyDescent="0.3">
      <c r="A565" s="3" t="s">
        <v>1737</v>
      </c>
      <c r="B565" s="3" t="s">
        <v>600</v>
      </c>
      <c r="C565" s="3" t="s">
        <v>6</v>
      </c>
      <c r="D565" s="3" t="s">
        <v>1738</v>
      </c>
      <c r="E565" s="3" t="s">
        <v>1739</v>
      </c>
      <c r="F565" s="3" t="s">
        <v>79</v>
      </c>
      <c r="G565" s="3" t="s">
        <v>135</v>
      </c>
      <c r="H565" s="3" t="s">
        <v>19</v>
      </c>
      <c r="I565" s="3">
        <v>160</v>
      </c>
      <c r="J565" s="3" t="s">
        <v>102</v>
      </c>
      <c r="K565" s="3" t="s">
        <v>7</v>
      </c>
      <c r="L565" s="3" t="s">
        <v>103</v>
      </c>
      <c r="M565" s="4">
        <v>124900</v>
      </c>
      <c r="N565" s="5">
        <v>14.9</v>
      </c>
      <c r="O565" s="4">
        <f t="shared" si="16"/>
        <v>18610.099999999999</v>
      </c>
      <c r="P565" s="4">
        <f t="shared" si="17"/>
        <v>106289.9</v>
      </c>
      <c r="Q565" s="3" t="s">
        <v>38</v>
      </c>
      <c r="R565" s="3" t="s">
        <v>67</v>
      </c>
      <c r="S565" s="3" t="s">
        <v>68</v>
      </c>
      <c r="T565" s="3" t="s">
        <v>29</v>
      </c>
    </row>
    <row r="566" spans="1:20" ht="15" customHeight="1" x14ac:dyDescent="0.3">
      <c r="A566" s="3" t="s">
        <v>1740</v>
      </c>
      <c r="B566" s="3" t="s">
        <v>330</v>
      </c>
      <c r="C566" s="3" t="s">
        <v>4</v>
      </c>
      <c r="D566" s="3" t="s">
        <v>1741</v>
      </c>
      <c r="E566" s="3" t="s">
        <v>1742</v>
      </c>
      <c r="F566" s="3" t="s">
        <v>63</v>
      </c>
      <c r="G566" s="3" t="s">
        <v>135</v>
      </c>
      <c r="H566" s="3" t="s">
        <v>19</v>
      </c>
      <c r="I566" s="3">
        <v>160</v>
      </c>
      <c r="J566" s="3" t="s">
        <v>96</v>
      </c>
      <c r="K566" s="3" t="s">
        <v>9</v>
      </c>
      <c r="L566" s="3" t="s">
        <v>90</v>
      </c>
      <c r="M566" s="4">
        <v>124900</v>
      </c>
      <c r="N566" s="5">
        <v>4.3</v>
      </c>
      <c r="O566" s="4">
        <f t="shared" si="16"/>
        <v>5370.7</v>
      </c>
      <c r="P566" s="4">
        <f t="shared" si="17"/>
        <v>119529.3</v>
      </c>
      <c r="Q566" s="3" t="s">
        <v>40</v>
      </c>
      <c r="R566" s="3" t="s">
        <v>67</v>
      </c>
      <c r="S566" s="3" t="s">
        <v>67</v>
      </c>
      <c r="T566" s="3" t="s">
        <v>26</v>
      </c>
    </row>
    <row r="567" spans="1:20" ht="15" customHeight="1" x14ac:dyDescent="0.3">
      <c r="A567" s="3" t="s">
        <v>1743</v>
      </c>
      <c r="B567" s="3" t="s">
        <v>289</v>
      </c>
      <c r="C567" s="3" t="s">
        <v>4</v>
      </c>
      <c r="D567" s="3" t="s">
        <v>690</v>
      </c>
      <c r="E567" s="3" t="s">
        <v>1744</v>
      </c>
      <c r="F567" s="3" t="s">
        <v>124</v>
      </c>
      <c r="G567" s="3" t="s">
        <v>211</v>
      </c>
      <c r="H567" s="3" t="s">
        <v>20</v>
      </c>
      <c r="I567" s="3">
        <v>350</v>
      </c>
      <c r="J567" s="3" t="s">
        <v>65</v>
      </c>
      <c r="K567" s="3" t="s">
        <v>7</v>
      </c>
      <c r="L567" s="3" t="s">
        <v>90</v>
      </c>
      <c r="M567" s="4">
        <v>199900</v>
      </c>
      <c r="N567" s="5">
        <v>5.2</v>
      </c>
      <c r="O567" s="4">
        <f t="shared" si="16"/>
        <v>10394.799999999999</v>
      </c>
      <c r="P567" s="4">
        <f t="shared" si="17"/>
        <v>189505.2</v>
      </c>
      <c r="Q567" s="3" t="s">
        <v>25</v>
      </c>
      <c r="R567" s="3" t="s">
        <v>67</v>
      </c>
      <c r="S567" s="3" t="s">
        <v>68</v>
      </c>
      <c r="T567" s="3" t="s">
        <v>32</v>
      </c>
    </row>
    <row r="568" spans="1:20" ht="15" customHeight="1" x14ac:dyDescent="0.3">
      <c r="A568" s="3" t="s">
        <v>1745</v>
      </c>
      <c r="B568" s="3" t="s">
        <v>414</v>
      </c>
      <c r="C568" s="3" t="s">
        <v>15</v>
      </c>
      <c r="D568" s="3" t="s">
        <v>452</v>
      </c>
      <c r="E568" s="3" t="s">
        <v>1746</v>
      </c>
      <c r="F568" s="3" t="s">
        <v>79</v>
      </c>
      <c r="G568" s="3" t="s">
        <v>73</v>
      </c>
      <c r="H568" s="3" t="s">
        <v>21</v>
      </c>
      <c r="I568" s="3">
        <v>110</v>
      </c>
      <c r="J568" s="3" t="s">
        <v>119</v>
      </c>
      <c r="K568" s="3" t="s">
        <v>7</v>
      </c>
      <c r="L568" s="3" t="s">
        <v>74</v>
      </c>
      <c r="M568" s="4">
        <v>79900</v>
      </c>
      <c r="N568" s="5">
        <v>9</v>
      </c>
      <c r="O568" s="4">
        <f t="shared" si="16"/>
        <v>7191</v>
      </c>
      <c r="P568" s="4">
        <f t="shared" si="17"/>
        <v>72709</v>
      </c>
      <c r="Q568" s="3" t="s">
        <v>38</v>
      </c>
      <c r="R568" s="3" t="s">
        <v>67</v>
      </c>
      <c r="S568" s="3" t="s">
        <v>68</v>
      </c>
      <c r="T568" s="3" t="s">
        <v>32</v>
      </c>
    </row>
    <row r="569" spans="1:20" ht="15" customHeight="1" x14ac:dyDescent="0.3">
      <c r="A569" s="3" t="s">
        <v>1747</v>
      </c>
      <c r="B569" s="3" t="s">
        <v>92</v>
      </c>
      <c r="C569" s="3" t="s">
        <v>4</v>
      </c>
      <c r="D569" s="3" t="s">
        <v>1748</v>
      </c>
      <c r="E569" s="3" t="s">
        <v>1749</v>
      </c>
      <c r="F569" s="3" t="s">
        <v>63</v>
      </c>
      <c r="G569" s="3" t="s">
        <v>316</v>
      </c>
      <c r="H569" s="3" t="s">
        <v>19</v>
      </c>
      <c r="I569" s="3">
        <v>150</v>
      </c>
      <c r="J569" s="3" t="s">
        <v>243</v>
      </c>
      <c r="K569" s="3" t="s">
        <v>1</v>
      </c>
      <c r="L569" s="3" t="s">
        <v>90</v>
      </c>
      <c r="M569" s="4">
        <v>109900</v>
      </c>
      <c r="N569" s="5">
        <v>5.2</v>
      </c>
      <c r="O569" s="4">
        <f t="shared" si="16"/>
        <v>5714.8</v>
      </c>
      <c r="P569" s="4">
        <f t="shared" si="17"/>
        <v>104185.2</v>
      </c>
      <c r="Q569" s="3" t="s">
        <v>34</v>
      </c>
      <c r="R569" s="3" t="s">
        <v>67</v>
      </c>
      <c r="S569" s="3" t="s">
        <v>67</v>
      </c>
      <c r="T569" s="3" t="s">
        <v>26</v>
      </c>
    </row>
    <row r="570" spans="1:20" ht="15" customHeight="1" x14ac:dyDescent="0.3">
      <c r="A570" s="3" t="s">
        <v>1750</v>
      </c>
      <c r="B570" s="3" t="s">
        <v>380</v>
      </c>
      <c r="C570" s="3" t="s">
        <v>0</v>
      </c>
      <c r="D570" s="3" t="s">
        <v>1751</v>
      </c>
      <c r="E570" s="3" t="s">
        <v>1752</v>
      </c>
      <c r="F570" s="3" t="s">
        <v>124</v>
      </c>
      <c r="G570" s="3" t="s">
        <v>256</v>
      </c>
      <c r="H570" s="3" t="s">
        <v>21</v>
      </c>
      <c r="I570" s="3">
        <v>110</v>
      </c>
      <c r="J570" s="3" t="s">
        <v>129</v>
      </c>
      <c r="K570" s="3" t="s">
        <v>9</v>
      </c>
      <c r="L570" s="3" t="s">
        <v>82</v>
      </c>
      <c r="M570" s="4">
        <v>80900</v>
      </c>
      <c r="N570" s="5">
        <v>5.4</v>
      </c>
      <c r="O570" s="4">
        <f t="shared" si="16"/>
        <v>4368.6000000000004</v>
      </c>
      <c r="P570" s="4">
        <f t="shared" si="17"/>
        <v>76531.399999999994</v>
      </c>
      <c r="Q570" s="3" t="s">
        <v>28</v>
      </c>
      <c r="R570" s="3" t="s">
        <v>67</v>
      </c>
      <c r="S570" s="3" t="s">
        <v>68</v>
      </c>
      <c r="T570" s="3" t="s">
        <v>26</v>
      </c>
    </row>
    <row r="571" spans="1:20" ht="15" customHeight="1" x14ac:dyDescent="0.3">
      <c r="A571" s="3" t="s">
        <v>1753</v>
      </c>
      <c r="B571" s="3" t="s">
        <v>639</v>
      </c>
      <c r="C571" s="3" t="s">
        <v>10</v>
      </c>
      <c r="D571" s="3" t="s">
        <v>1754</v>
      </c>
      <c r="E571" s="3" t="s">
        <v>1755</v>
      </c>
      <c r="F571" s="3" t="s">
        <v>145</v>
      </c>
      <c r="G571" s="3" t="s">
        <v>95</v>
      </c>
      <c r="H571" s="3" t="s">
        <v>22</v>
      </c>
      <c r="I571" s="3">
        <v>0</v>
      </c>
      <c r="J571" s="3" t="s">
        <v>81</v>
      </c>
      <c r="K571" s="3" t="s">
        <v>1</v>
      </c>
      <c r="L571" s="3" t="s">
        <v>136</v>
      </c>
      <c r="M571" s="4">
        <v>139999</v>
      </c>
      <c r="N571" s="5">
        <v>11</v>
      </c>
      <c r="O571" s="4">
        <f t="shared" si="16"/>
        <v>15399.89</v>
      </c>
      <c r="P571" s="4">
        <f t="shared" si="17"/>
        <v>124599.11</v>
      </c>
      <c r="Q571" s="3" t="s">
        <v>40</v>
      </c>
      <c r="R571" s="3" t="s">
        <v>68</v>
      </c>
      <c r="S571" s="3" t="s">
        <v>67</v>
      </c>
      <c r="T571" s="3" t="s">
        <v>26</v>
      </c>
    </row>
    <row r="572" spans="1:20" ht="15" customHeight="1" x14ac:dyDescent="0.3">
      <c r="A572" s="3" t="s">
        <v>1756</v>
      </c>
      <c r="B572" s="3" t="s">
        <v>362</v>
      </c>
      <c r="C572" s="3" t="s">
        <v>2</v>
      </c>
      <c r="D572" s="3" t="s">
        <v>1757</v>
      </c>
      <c r="E572" s="3" t="s">
        <v>1758</v>
      </c>
      <c r="F572" s="3" t="s">
        <v>87</v>
      </c>
      <c r="G572" s="3" t="s">
        <v>64</v>
      </c>
      <c r="H572" s="3" t="s">
        <v>19</v>
      </c>
      <c r="I572" s="3">
        <v>200</v>
      </c>
      <c r="J572" s="3" t="s">
        <v>129</v>
      </c>
      <c r="K572" s="3" t="s">
        <v>11</v>
      </c>
      <c r="L572" s="3" t="s">
        <v>90</v>
      </c>
      <c r="M572" s="4">
        <v>199900</v>
      </c>
      <c r="N572" s="5">
        <v>4.7</v>
      </c>
      <c r="O572" s="4">
        <f t="shared" si="16"/>
        <v>9395.2999999999993</v>
      </c>
      <c r="P572" s="4">
        <f t="shared" si="17"/>
        <v>190504.7</v>
      </c>
      <c r="Q572" s="3" t="s">
        <v>38</v>
      </c>
      <c r="R572" s="3" t="s">
        <v>68</v>
      </c>
      <c r="S572" s="3" t="s">
        <v>68</v>
      </c>
      <c r="T572" s="3" t="s">
        <v>26</v>
      </c>
    </row>
    <row r="573" spans="1:20" ht="15" customHeight="1" x14ac:dyDescent="0.3">
      <c r="A573" s="3" t="s">
        <v>1759</v>
      </c>
      <c r="B573" s="3" t="s">
        <v>293</v>
      </c>
      <c r="C573" s="3" t="s">
        <v>16</v>
      </c>
      <c r="D573" s="3" t="s">
        <v>857</v>
      </c>
      <c r="E573" s="3" t="s">
        <v>1760</v>
      </c>
      <c r="F573" s="3" t="s">
        <v>87</v>
      </c>
      <c r="G573" s="3" t="s">
        <v>189</v>
      </c>
      <c r="H573" s="3" t="s">
        <v>18</v>
      </c>
      <c r="I573" s="3">
        <v>100</v>
      </c>
      <c r="J573" s="3" t="s">
        <v>243</v>
      </c>
      <c r="K573" s="3" t="s">
        <v>5</v>
      </c>
      <c r="L573" s="3" t="s">
        <v>103</v>
      </c>
      <c r="M573" s="4">
        <v>72900</v>
      </c>
      <c r="N573" s="5">
        <v>3.2</v>
      </c>
      <c r="O573" s="4">
        <f t="shared" si="16"/>
        <v>2332.8000000000002</v>
      </c>
      <c r="P573" s="4">
        <f t="shared" si="17"/>
        <v>70567.199999999997</v>
      </c>
      <c r="Q573" s="3" t="s">
        <v>36</v>
      </c>
      <c r="R573" s="3" t="s">
        <v>68</v>
      </c>
      <c r="S573" s="3" t="s">
        <v>68</v>
      </c>
      <c r="T573" s="3" t="s">
        <v>26</v>
      </c>
    </row>
    <row r="574" spans="1:20" ht="15" customHeight="1" x14ac:dyDescent="0.3">
      <c r="A574" s="3" t="s">
        <v>1761</v>
      </c>
      <c r="B574" s="3" t="s">
        <v>276</v>
      </c>
      <c r="C574" s="3" t="s">
        <v>12</v>
      </c>
      <c r="D574" s="3" t="s">
        <v>373</v>
      </c>
      <c r="E574" s="3" t="s">
        <v>1762</v>
      </c>
      <c r="F574" s="3" t="s">
        <v>174</v>
      </c>
      <c r="G574" s="3" t="s">
        <v>189</v>
      </c>
      <c r="H574" s="3" t="s">
        <v>18</v>
      </c>
      <c r="I574" s="3">
        <v>100</v>
      </c>
      <c r="J574" s="3" t="s">
        <v>89</v>
      </c>
      <c r="K574" s="3" t="s">
        <v>1</v>
      </c>
      <c r="L574" s="3" t="s">
        <v>66</v>
      </c>
      <c r="M574" s="4">
        <v>72900</v>
      </c>
      <c r="N574" s="5">
        <v>7.7</v>
      </c>
      <c r="O574" s="4">
        <f t="shared" si="16"/>
        <v>5613.3</v>
      </c>
      <c r="P574" s="4">
        <f t="shared" si="17"/>
        <v>67286.7</v>
      </c>
      <c r="Q574" s="3" t="s">
        <v>31</v>
      </c>
      <c r="R574" s="3" t="s">
        <v>67</v>
      </c>
      <c r="S574" s="3" t="s">
        <v>68</v>
      </c>
      <c r="T574" s="3" t="s">
        <v>26</v>
      </c>
    </row>
    <row r="575" spans="1:20" ht="15" customHeight="1" x14ac:dyDescent="0.3">
      <c r="A575" s="3" t="s">
        <v>1763</v>
      </c>
      <c r="B575" s="3" t="s">
        <v>131</v>
      </c>
      <c r="C575" s="3" t="s">
        <v>15</v>
      </c>
      <c r="D575" s="3" t="s">
        <v>633</v>
      </c>
      <c r="E575" s="3" t="s">
        <v>1764</v>
      </c>
      <c r="F575" s="3" t="s">
        <v>79</v>
      </c>
      <c r="G575" s="3" t="s">
        <v>324</v>
      </c>
      <c r="H575" s="3" t="s">
        <v>19</v>
      </c>
      <c r="I575" s="3">
        <v>149</v>
      </c>
      <c r="J575" s="3" t="s">
        <v>81</v>
      </c>
      <c r="K575" s="3" t="s">
        <v>11</v>
      </c>
      <c r="L575" s="3" t="s">
        <v>136</v>
      </c>
      <c r="M575" s="4">
        <v>119900</v>
      </c>
      <c r="N575" s="5">
        <v>4</v>
      </c>
      <c r="O575" s="4">
        <f t="shared" si="16"/>
        <v>4796</v>
      </c>
      <c r="P575" s="4">
        <f t="shared" si="17"/>
        <v>115104</v>
      </c>
      <c r="Q575" s="3" t="s">
        <v>31</v>
      </c>
      <c r="R575" s="3" t="s">
        <v>67</v>
      </c>
      <c r="S575" s="3" t="s">
        <v>68</v>
      </c>
      <c r="T575" s="3" t="s">
        <v>26</v>
      </c>
    </row>
    <row r="576" spans="1:20" ht="15" customHeight="1" x14ac:dyDescent="0.3">
      <c r="A576" s="3" t="s">
        <v>1765</v>
      </c>
      <c r="B576" s="3" t="s">
        <v>318</v>
      </c>
      <c r="C576" s="3" t="s">
        <v>10</v>
      </c>
      <c r="D576" s="3" t="s">
        <v>1766</v>
      </c>
      <c r="E576" s="3" t="s">
        <v>1767</v>
      </c>
      <c r="F576" s="3" t="s">
        <v>112</v>
      </c>
      <c r="G576" s="3" t="s">
        <v>146</v>
      </c>
      <c r="H576" s="3" t="s">
        <v>18</v>
      </c>
      <c r="I576" s="3">
        <v>110</v>
      </c>
      <c r="J576" s="3" t="s">
        <v>96</v>
      </c>
      <c r="K576" s="3" t="s">
        <v>3</v>
      </c>
      <c r="L576" s="3" t="s">
        <v>206</v>
      </c>
      <c r="M576" s="4">
        <v>74900</v>
      </c>
      <c r="N576" s="5">
        <v>9.1999999999999993</v>
      </c>
      <c r="O576" s="4">
        <f t="shared" si="16"/>
        <v>6890.8</v>
      </c>
      <c r="P576" s="4">
        <f t="shared" si="17"/>
        <v>68009.2</v>
      </c>
      <c r="Q576" s="3" t="s">
        <v>28</v>
      </c>
      <c r="R576" s="3" t="s">
        <v>67</v>
      </c>
      <c r="S576" s="3" t="s">
        <v>68</v>
      </c>
      <c r="T576" s="3" t="s">
        <v>29</v>
      </c>
    </row>
    <row r="577" spans="1:20" ht="15" customHeight="1" x14ac:dyDescent="0.3">
      <c r="A577" s="3" t="s">
        <v>1768</v>
      </c>
      <c r="B577" s="3" t="s">
        <v>253</v>
      </c>
      <c r="C577" s="3" t="s">
        <v>17</v>
      </c>
      <c r="D577" s="3" t="s">
        <v>1422</v>
      </c>
      <c r="E577" s="3" t="s">
        <v>1769</v>
      </c>
      <c r="F577" s="3" t="s">
        <v>124</v>
      </c>
      <c r="G577" s="3" t="s">
        <v>73</v>
      </c>
      <c r="H577" s="3" t="s">
        <v>21</v>
      </c>
      <c r="I577" s="3">
        <v>110</v>
      </c>
      <c r="J577" s="3" t="s">
        <v>89</v>
      </c>
      <c r="K577" s="3" t="s">
        <v>9</v>
      </c>
      <c r="L577" s="3" t="s">
        <v>74</v>
      </c>
      <c r="M577" s="4">
        <v>79900</v>
      </c>
      <c r="N577" s="5">
        <v>3.9</v>
      </c>
      <c r="O577" s="4">
        <f t="shared" si="16"/>
        <v>3116.1</v>
      </c>
      <c r="P577" s="4">
        <f t="shared" si="17"/>
        <v>76783.899999999994</v>
      </c>
      <c r="Q577" s="3" t="s">
        <v>36</v>
      </c>
      <c r="R577" s="3" t="s">
        <v>68</v>
      </c>
      <c r="S577" s="3" t="s">
        <v>68</v>
      </c>
      <c r="T577" s="3" t="s">
        <v>26</v>
      </c>
    </row>
    <row r="578" spans="1:20" ht="15" customHeight="1" x14ac:dyDescent="0.3">
      <c r="A578" s="3" t="s">
        <v>1770</v>
      </c>
      <c r="B578" s="3" t="s">
        <v>109</v>
      </c>
      <c r="C578" s="3" t="s">
        <v>2</v>
      </c>
      <c r="D578" s="3" t="s">
        <v>1771</v>
      </c>
      <c r="E578" s="3" t="s">
        <v>1772</v>
      </c>
      <c r="F578" s="3" t="s">
        <v>155</v>
      </c>
      <c r="G578" s="3" t="s">
        <v>256</v>
      </c>
      <c r="H578" s="3" t="s">
        <v>21</v>
      </c>
      <c r="I578" s="3">
        <v>110</v>
      </c>
      <c r="J578" s="3" t="s">
        <v>129</v>
      </c>
      <c r="K578" s="3" t="s">
        <v>11</v>
      </c>
      <c r="L578" s="3" t="s">
        <v>82</v>
      </c>
      <c r="M578" s="4">
        <v>80900</v>
      </c>
      <c r="N578" s="5">
        <v>12.9</v>
      </c>
      <c r="O578" s="4">
        <f t="shared" ref="O578:O641" si="18">M578*N578/100</f>
        <v>10436.1</v>
      </c>
      <c r="P578" s="4">
        <f t="shared" ref="P578:P641" si="19">M578-O578</f>
        <v>70463.899999999994</v>
      </c>
      <c r="Q578" s="3" t="s">
        <v>34</v>
      </c>
      <c r="R578" s="3" t="s">
        <v>67</v>
      </c>
      <c r="S578" s="3" t="s">
        <v>67</v>
      </c>
      <c r="T578" s="3" t="s">
        <v>32</v>
      </c>
    </row>
    <row r="579" spans="1:20" ht="15" customHeight="1" x14ac:dyDescent="0.3">
      <c r="A579" s="3" t="s">
        <v>1773</v>
      </c>
      <c r="B579" s="3" t="s">
        <v>171</v>
      </c>
      <c r="C579" s="3" t="s">
        <v>12</v>
      </c>
      <c r="D579" s="3" t="s">
        <v>1718</v>
      </c>
      <c r="E579" s="3" t="s">
        <v>1774</v>
      </c>
      <c r="F579" s="3" t="s">
        <v>117</v>
      </c>
      <c r="G579" s="3" t="s">
        <v>222</v>
      </c>
      <c r="H579" s="3" t="s">
        <v>19</v>
      </c>
      <c r="I579" s="3">
        <v>155</v>
      </c>
      <c r="J579" s="3" t="s">
        <v>179</v>
      </c>
      <c r="K579" s="3" t="s">
        <v>7</v>
      </c>
      <c r="L579" s="3" t="s">
        <v>206</v>
      </c>
      <c r="M579" s="4">
        <v>167900</v>
      </c>
      <c r="N579" s="5">
        <v>14.5</v>
      </c>
      <c r="O579" s="4">
        <f t="shared" si="18"/>
        <v>24345.5</v>
      </c>
      <c r="P579" s="4">
        <f t="shared" si="19"/>
        <v>143554.5</v>
      </c>
      <c r="Q579" s="3" t="s">
        <v>28</v>
      </c>
      <c r="R579" s="3" t="s">
        <v>67</v>
      </c>
      <c r="S579" s="3" t="s">
        <v>68</v>
      </c>
      <c r="T579" s="3" t="s">
        <v>26</v>
      </c>
    </row>
    <row r="580" spans="1:20" ht="15" customHeight="1" x14ac:dyDescent="0.3">
      <c r="A580" s="3" t="s">
        <v>1775</v>
      </c>
      <c r="B580" s="3" t="s">
        <v>924</v>
      </c>
      <c r="C580" s="3" t="s">
        <v>14</v>
      </c>
      <c r="D580" s="3" t="s">
        <v>1776</v>
      </c>
      <c r="E580" s="3" t="s">
        <v>1777</v>
      </c>
      <c r="F580" s="3" t="s">
        <v>79</v>
      </c>
      <c r="G580" s="3" t="s">
        <v>88</v>
      </c>
      <c r="H580" s="3" t="s">
        <v>18</v>
      </c>
      <c r="I580" s="3">
        <v>125</v>
      </c>
      <c r="J580" s="3" t="s">
        <v>102</v>
      </c>
      <c r="K580" s="3" t="s">
        <v>11</v>
      </c>
      <c r="L580" s="3" t="s">
        <v>136</v>
      </c>
      <c r="M580" s="4">
        <v>94900</v>
      </c>
      <c r="N580" s="5">
        <v>11.8</v>
      </c>
      <c r="O580" s="4">
        <f t="shared" si="18"/>
        <v>11198.2</v>
      </c>
      <c r="P580" s="4">
        <f t="shared" si="19"/>
        <v>83701.8</v>
      </c>
      <c r="Q580" s="3" t="s">
        <v>28</v>
      </c>
      <c r="R580" s="3" t="s">
        <v>67</v>
      </c>
      <c r="S580" s="3" t="s">
        <v>68</v>
      </c>
      <c r="T580" s="3" t="s">
        <v>26</v>
      </c>
    </row>
    <row r="581" spans="1:20" ht="15" customHeight="1" x14ac:dyDescent="0.3">
      <c r="A581" s="3" t="s">
        <v>1778</v>
      </c>
      <c r="B581" s="3" t="s">
        <v>809</v>
      </c>
      <c r="C581" s="3" t="s">
        <v>17</v>
      </c>
      <c r="D581" s="3" t="s">
        <v>1779</v>
      </c>
      <c r="E581" s="3" t="s">
        <v>1780</v>
      </c>
      <c r="F581" s="3" t="s">
        <v>155</v>
      </c>
      <c r="G581" s="3" t="s">
        <v>88</v>
      </c>
      <c r="H581" s="3" t="s">
        <v>18</v>
      </c>
      <c r="I581" s="3">
        <v>125</v>
      </c>
      <c r="J581" s="3" t="s">
        <v>243</v>
      </c>
      <c r="K581" s="3" t="s">
        <v>5</v>
      </c>
      <c r="L581" s="3" t="s">
        <v>74</v>
      </c>
      <c r="M581" s="4">
        <v>94900</v>
      </c>
      <c r="N581" s="5">
        <v>12.8</v>
      </c>
      <c r="O581" s="4">
        <f t="shared" si="18"/>
        <v>12147.2</v>
      </c>
      <c r="P581" s="4">
        <f t="shared" si="19"/>
        <v>82752.800000000003</v>
      </c>
      <c r="Q581" s="3" t="s">
        <v>38</v>
      </c>
      <c r="R581" s="3" t="s">
        <v>67</v>
      </c>
      <c r="S581" s="3" t="s">
        <v>68</v>
      </c>
      <c r="T581" s="3" t="s">
        <v>26</v>
      </c>
    </row>
    <row r="582" spans="1:20" ht="15" customHeight="1" x14ac:dyDescent="0.3">
      <c r="A582" s="3" t="s">
        <v>1781</v>
      </c>
      <c r="B582" s="3" t="s">
        <v>1010</v>
      </c>
      <c r="C582" s="3" t="s">
        <v>6</v>
      </c>
      <c r="D582" s="3" t="s">
        <v>656</v>
      </c>
      <c r="E582" s="3" t="s">
        <v>1782</v>
      </c>
      <c r="F582" s="3" t="s">
        <v>117</v>
      </c>
      <c r="G582" s="3" t="s">
        <v>95</v>
      </c>
      <c r="H582" s="3" t="s">
        <v>22</v>
      </c>
      <c r="I582" s="3">
        <v>0</v>
      </c>
      <c r="J582" s="3" t="s">
        <v>179</v>
      </c>
      <c r="K582" s="3" t="s">
        <v>1</v>
      </c>
      <c r="L582" s="3" t="s">
        <v>206</v>
      </c>
      <c r="M582" s="4">
        <v>139999</v>
      </c>
      <c r="N582" s="5">
        <v>11.9</v>
      </c>
      <c r="O582" s="4">
        <f t="shared" si="18"/>
        <v>16659.881000000001</v>
      </c>
      <c r="P582" s="4">
        <f t="shared" si="19"/>
        <v>123339.11900000001</v>
      </c>
      <c r="Q582" s="3" t="s">
        <v>38</v>
      </c>
      <c r="R582" s="3" t="s">
        <v>67</v>
      </c>
      <c r="S582" s="3" t="s">
        <v>67</v>
      </c>
      <c r="T582" s="3" t="s">
        <v>26</v>
      </c>
    </row>
    <row r="583" spans="1:20" ht="15" customHeight="1" x14ac:dyDescent="0.3">
      <c r="A583" s="3" t="s">
        <v>1783</v>
      </c>
      <c r="B583" s="3" t="s">
        <v>600</v>
      </c>
      <c r="C583" s="3" t="s">
        <v>6</v>
      </c>
      <c r="D583" s="3" t="s">
        <v>1277</v>
      </c>
      <c r="E583" s="3" t="s">
        <v>1784</v>
      </c>
      <c r="F583" s="3" t="s">
        <v>87</v>
      </c>
      <c r="G583" s="3" t="s">
        <v>211</v>
      </c>
      <c r="H583" s="3" t="s">
        <v>20</v>
      </c>
      <c r="I583" s="3">
        <v>350</v>
      </c>
      <c r="J583" s="3" t="s">
        <v>164</v>
      </c>
      <c r="K583" s="3" t="s">
        <v>9</v>
      </c>
      <c r="L583" s="3" t="s">
        <v>90</v>
      </c>
      <c r="M583" s="4">
        <v>199900</v>
      </c>
      <c r="N583" s="5">
        <v>9.6999999999999993</v>
      </c>
      <c r="O583" s="4">
        <f t="shared" si="18"/>
        <v>19390.3</v>
      </c>
      <c r="P583" s="4">
        <f t="shared" si="19"/>
        <v>180509.7</v>
      </c>
      <c r="Q583" s="3" t="s">
        <v>28</v>
      </c>
      <c r="R583" s="3" t="s">
        <v>68</v>
      </c>
      <c r="S583" s="3" t="s">
        <v>68</v>
      </c>
      <c r="T583" s="3" t="s">
        <v>26</v>
      </c>
    </row>
    <row r="584" spans="1:20" ht="15" customHeight="1" x14ac:dyDescent="0.3">
      <c r="A584" s="3" t="s">
        <v>1785</v>
      </c>
      <c r="B584" s="3" t="s">
        <v>414</v>
      </c>
      <c r="C584" s="3" t="s">
        <v>15</v>
      </c>
      <c r="D584" s="3" t="s">
        <v>1032</v>
      </c>
      <c r="E584" s="3" t="s">
        <v>1786</v>
      </c>
      <c r="F584" s="3" t="s">
        <v>134</v>
      </c>
      <c r="G584" s="3" t="s">
        <v>316</v>
      </c>
      <c r="H584" s="3" t="s">
        <v>19</v>
      </c>
      <c r="I584" s="3">
        <v>150</v>
      </c>
      <c r="J584" s="3" t="s">
        <v>129</v>
      </c>
      <c r="K584" s="3" t="s">
        <v>3</v>
      </c>
      <c r="L584" s="3" t="s">
        <v>206</v>
      </c>
      <c r="M584" s="4">
        <v>109900</v>
      </c>
      <c r="N584" s="5">
        <v>3.9</v>
      </c>
      <c r="O584" s="4">
        <f t="shared" si="18"/>
        <v>4286.1000000000004</v>
      </c>
      <c r="P584" s="4">
        <f t="shared" si="19"/>
        <v>105613.9</v>
      </c>
      <c r="Q584" s="3" t="s">
        <v>31</v>
      </c>
      <c r="R584" s="3" t="s">
        <v>68</v>
      </c>
      <c r="S584" s="3" t="s">
        <v>68</v>
      </c>
      <c r="T584" s="3" t="s">
        <v>29</v>
      </c>
    </row>
    <row r="585" spans="1:20" ht="15" customHeight="1" x14ac:dyDescent="0.3">
      <c r="A585" s="3" t="s">
        <v>1787</v>
      </c>
      <c r="B585" s="3" t="s">
        <v>304</v>
      </c>
      <c r="C585" s="3" t="s">
        <v>2</v>
      </c>
      <c r="D585" s="3" t="s">
        <v>1788</v>
      </c>
      <c r="E585" s="3" t="s">
        <v>1789</v>
      </c>
      <c r="F585" s="3" t="s">
        <v>174</v>
      </c>
      <c r="G585" s="3" t="s">
        <v>118</v>
      </c>
      <c r="H585" s="3" t="s">
        <v>20</v>
      </c>
      <c r="I585" s="3">
        <v>350</v>
      </c>
      <c r="J585" s="3" t="s">
        <v>65</v>
      </c>
      <c r="K585" s="3" t="s">
        <v>1</v>
      </c>
      <c r="L585" s="3" t="s">
        <v>74</v>
      </c>
      <c r="M585" s="4">
        <v>159900</v>
      </c>
      <c r="N585" s="5">
        <v>5.8</v>
      </c>
      <c r="O585" s="4">
        <f t="shared" si="18"/>
        <v>9274.2000000000007</v>
      </c>
      <c r="P585" s="4">
        <f t="shared" si="19"/>
        <v>150625.79999999999</v>
      </c>
      <c r="Q585" s="3" t="s">
        <v>34</v>
      </c>
      <c r="R585" s="3" t="s">
        <v>67</v>
      </c>
      <c r="S585" s="3" t="s">
        <v>68</v>
      </c>
      <c r="T585" s="3" t="s">
        <v>26</v>
      </c>
    </row>
    <row r="586" spans="1:20" ht="15" customHeight="1" x14ac:dyDescent="0.3">
      <c r="A586" s="3" t="s">
        <v>1790</v>
      </c>
      <c r="B586" s="3" t="s">
        <v>245</v>
      </c>
      <c r="C586" s="3" t="s">
        <v>14</v>
      </c>
      <c r="D586" s="3" t="s">
        <v>1337</v>
      </c>
      <c r="E586" s="3" t="s">
        <v>1791</v>
      </c>
      <c r="F586" s="3" t="s">
        <v>112</v>
      </c>
      <c r="G586" s="3" t="s">
        <v>211</v>
      </c>
      <c r="H586" s="3" t="s">
        <v>20</v>
      </c>
      <c r="I586" s="3">
        <v>350</v>
      </c>
      <c r="J586" s="3" t="s">
        <v>81</v>
      </c>
      <c r="K586" s="3" t="s">
        <v>11</v>
      </c>
      <c r="L586" s="3" t="s">
        <v>66</v>
      </c>
      <c r="M586" s="4">
        <v>199900</v>
      </c>
      <c r="N586" s="5">
        <v>8.9</v>
      </c>
      <c r="O586" s="4">
        <f t="shared" si="18"/>
        <v>17791.099999999999</v>
      </c>
      <c r="P586" s="4">
        <f t="shared" si="19"/>
        <v>182108.9</v>
      </c>
      <c r="Q586" s="3" t="s">
        <v>28</v>
      </c>
      <c r="R586" s="3" t="s">
        <v>67</v>
      </c>
      <c r="S586" s="3" t="s">
        <v>68</v>
      </c>
      <c r="T586" s="3" t="s">
        <v>26</v>
      </c>
    </row>
    <row r="587" spans="1:20" ht="15" customHeight="1" x14ac:dyDescent="0.3">
      <c r="A587" s="3" t="s">
        <v>1792</v>
      </c>
      <c r="B587" s="3" t="s">
        <v>114</v>
      </c>
      <c r="C587" s="3" t="s">
        <v>4</v>
      </c>
      <c r="D587" s="3" t="s">
        <v>1061</v>
      </c>
      <c r="E587" s="3" t="s">
        <v>1793</v>
      </c>
      <c r="F587" s="3" t="s">
        <v>63</v>
      </c>
      <c r="G587" s="3" t="s">
        <v>73</v>
      </c>
      <c r="H587" s="3" t="s">
        <v>21</v>
      </c>
      <c r="I587" s="3">
        <v>110</v>
      </c>
      <c r="J587" s="3" t="s">
        <v>164</v>
      </c>
      <c r="K587" s="3" t="s">
        <v>9</v>
      </c>
      <c r="L587" s="3" t="s">
        <v>136</v>
      </c>
      <c r="M587" s="4">
        <v>79900</v>
      </c>
      <c r="N587" s="5">
        <v>3.3</v>
      </c>
      <c r="O587" s="4">
        <f t="shared" si="18"/>
        <v>2636.7</v>
      </c>
      <c r="P587" s="4">
        <f t="shared" si="19"/>
        <v>77263.3</v>
      </c>
      <c r="Q587" s="3" t="s">
        <v>36</v>
      </c>
      <c r="R587" s="3" t="s">
        <v>68</v>
      </c>
      <c r="S587" s="3" t="s">
        <v>67</v>
      </c>
      <c r="T587" s="3" t="s">
        <v>32</v>
      </c>
    </row>
    <row r="588" spans="1:20" ht="15" customHeight="1" x14ac:dyDescent="0.3">
      <c r="A588" s="3" t="s">
        <v>1794</v>
      </c>
      <c r="B588" s="3" t="s">
        <v>402</v>
      </c>
      <c r="C588" s="3" t="s">
        <v>2</v>
      </c>
      <c r="D588" s="3" t="s">
        <v>1795</v>
      </c>
      <c r="E588" s="3" t="s">
        <v>1796</v>
      </c>
      <c r="F588" s="3" t="s">
        <v>134</v>
      </c>
      <c r="G588" s="3" t="s">
        <v>95</v>
      </c>
      <c r="H588" s="3" t="s">
        <v>22</v>
      </c>
      <c r="I588" s="3">
        <v>0</v>
      </c>
      <c r="J588" s="3" t="s">
        <v>102</v>
      </c>
      <c r="K588" s="3" t="s">
        <v>11</v>
      </c>
      <c r="L588" s="3" t="s">
        <v>74</v>
      </c>
      <c r="M588" s="4">
        <v>139999</v>
      </c>
      <c r="N588" s="5">
        <v>9.8000000000000007</v>
      </c>
      <c r="O588" s="4">
        <f t="shared" si="18"/>
        <v>13719.902000000002</v>
      </c>
      <c r="P588" s="4">
        <f t="shared" si="19"/>
        <v>126279.098</v>
      </c>
      <c r="Q588" s="3" t="s">
        <v>38</v>
      </c>
      <c r="R588" s="3" t="s">
        <v>67</v>
      </c>
      <c r="S588" s="3" t="s">
        <v>67</v>
      </c>
      <c r="T588" s="3" t="s">
        <v>32</v>
      </c>
    </row>
    <row r="589" spans="1:20" ht="15" customHeight="1" x14ac:dyDescent="0.3">
      <c r="A589" s="3" t="s">
        <v>1797</v>
      </c>
      <c r="B589" s="3" t="s">
        <v>158</v>
      </c>
      <c r="C589" s="3" t="s">
        <v>16</v>
      </c>
      <c r="D589" s="3" t="s">
        <v>1615</v>
      </c>
      <c r="E589" s="3" t="s">
        <v>1798</v>
      </c>
      <c r="F589" s="3" t="s">
        <v>79</v>
      </c>
      <c r="G589" s="3" t="s">
        <v>118</v>
      </c>
      <c r="H589" s="3" t="s">
        <v>20</v>
      </c>
      <c r="I589" s="3">
        <v>350</v>
      </c>
      <c r="J589" s="3" t="s">
        <v>96</v>
      </c>
      <c r="K589" s="3" t="s">
        <v>3</v>
      </c>
      <c r="L589" s="3" t="s">
        <v>74</v>
      </c>
      <c r="M589" s="4">
        <v>159900</v>
      </c>
      <c r="N589" s="5">
        <v>12.4</v>
      </c>
      <c r="O589" s="4">
        <f t="shared" si="18"/>
        <v>19827.599999999999</v>
      </c>
      <c r="P589" s="4">
        <f t="shared" si="19"/>
        <v>140072.4</v>
      </c>
      <c r="Q589" s="3" t="s">
        <v>25</v>
      </c>
      <c r="R589" s="3" t="s">
        <v>67</v>
      </c>
      <c r="S589" s="3" t="s">
        <v>67</v>
      </c>
      <c r="T589" s="3" t="s">
        <v>26</v>
      </c>
    </row>
    <row r="590" spans="1:20" ht="15" customHeight="1" x14ac:dyDescent="0.3">
      <c r="A590" s="3" t="s">
        <v>1799</v>
      </c>
      <c r="B590" s="3" t="s">
        <v>99</v>
      </c>
      <c r="C590" s="3" t="s">
        <v>13</v>
      </c>
      <c r="D590" s="3" t="s">
        <v>1800</v>
      </c>
      <c r="E590" s="3" t="s">
        <v>1801</v>
      </c>
      <c r="F590" s="3" t="s">
        <v>124</v>
      </c>
      <c r="G590" s="3" t="s">
        <v>156</v>
      </c>
      <c r="H590" s="3" t="s">
        <v>21</v>
      </c>
      <c r="I590" s="3">
        <v>125</v>
      </c>
      <c r="J590" s="3" t="s">
        <v>96</v>
      </c>
      <c r="K590" s="3" t="s">
        <v>11</v>
      </c>
      <c r="L590" s="3" t="s">
        <v>136</v>
      </c>
      <c r="M590" s="4">
        <v>88900</v>
      </c>
      <c r="N590" s="5">
        <v>8.4</v>
      </c>
      <c r="O590" s="4">
        <f t="shared" si="18"/>
        <v>7467.6</v>
      </c>
      <c r="P590" s="4">
        <f t="shared" si="19"/>
        <v>81432.399999999994</v>
      </c>
      <c r="Q590" s="3" t="s">
        <v>38</v>
      </c>
      <c r="R590" s="3" t="s">
        <v>67</v>
      </c>
      <c r="S590" s="3" t="s">
        <v>67</v>
      </c>
      <c r="T590" s="3" t="s">
        <v>26</v>
      </c>
    </row>
    <row r="591" spans="1:20" ht="15" customHeight="1" x14ac:dyDescent="0.3">
      <c r="A591" s="3" t="s">
        <v>1802</v>
      </c>
      <c r="B591" s="3" t="s">
        <v>121</v>
      </c>
      <c r="C591" s="3" t="s">
        <v>13</v>
      </c>
      <c r="D591" s="3" t="s">
        <v>665</v>
      </c>
      <c r="E591" s="3" t="s">
        <v>1803</v>
      </c>
      <c r="F591" s="3" t="s">
        <v>87</v>
      </c>
      <c r="G591" s="3" t="s">
        <v>169</v>
      </c>
      <c r="H591" s="3" t="s">
        <v>18</v>
      </c>
      <c r="I591" s="3">
        <v>162</v>
      </c>
      <c r="J591" s="3" t="s">
        <v>164</v>
      </c>
      <c r="K591" s="3" t="s">
        <v>1</v>
      </c>
      <c r="L591" s="3" t="s">
        <v>82</v>
      </c>
      <c r="M591" s="4">
        <v>124900</v>
      </c>
      <c r="N591" s="5">
        <v>8.3000000000000007</v>
      </c>
      <c r="O591" s="4">
        <f t="shared" si="18"/>
        <v>10366.700000000001</v>
      </c>
      <c r="P591" s="4">
        <f t="shared" si="19"/>
        <v>114533.3</v>
      </c>
      <c r="Q591" s="3" t="s">
        <v>31</v>
      </c>
      <c r="R591" s="3" t="s">
        <v>67</v>
      </c>
      <c r="S591" s="3" t="s">
        <v>68</v>
      </c>
      <c r="T591" s="3" t="s">
        <v>32</v>
      </c>
    </row>
    <row r="592" spans="1:20" ht="15" customHeight="1" x14ac:dyDescent="0.3">
      <c r="A592" s="3" t="s">
        <v>1804</v>
      </c>
      <c r="B592" s="3" t="s">
        <v>234</v>
      </c>
      <c r="C592" s="3" t="s">
        <v>14</v>
      </c>
      <c r="D592" s="3" t="s">
        <v>1805</v>
      </c>
      <c r="E592" s="3" t="s">
        <v>1806</v>
      </c>
      <c r="F592" s="3" t="s">
        <v>155</v>
      </c>
      <c r="G592" s="3" t="s">
        <v>88</v>
      </c>
      <c r="H592" s="3" t="s">
        <v>18</v>
      </c>
      <c r="I592" s="3">
        <v>125</v>
      </c>
      <c r="J592" s="3" t="s">
        <v>164</v>
      </c>
      <c r="K592" s="3" t="s">
        <v>5</v>
      </c>
      <c r="L592" s="3" t="s">
        <v>206</v>
      </c>
      <c r="M592" s="4">
        <v>94900</v>
      </c>
      <c r="N592" s="5">
        <v>4.8</v>
      </c>
      <c r="O592" s="4">
        <f t="shared" si="18"/>
        <v>4555.2</v>
      </c>
      <c r="P592" s="4">
        <f t="shared" si="19"/>
        <v>90344.8</v>
      </c>
      <c r="Q592" s="3" t="s">
        <v>34</v>
      </c>
      <c r="R592" s="3" t="s">
        <v>67</v>
      </c>
      <c r="S592" s="3" t="s">
        <v>68</v>
      </c>
      <c r="T592" s="3" t="s">
        <v>26</v>
      </c>
    </row>
    <row r="593" spans="1:20" ht="15" customHeight="1" x14ac:dyDescent="0.3">
      <c r="A593" s="3" t="s">
        <v>1807</v>
      </c>
      <c r="B593" s="3" t="s">
        <v>564</v>
      </c>
      <c r="C593" s="3" t="s">
        <v>13</v>
      </c>
      <c r="D593" s="3" t="s">
        <v>305</v>
      </c>
      <c r="E593" s="3" t="s">
        <v>1808</v>
      </c>
      <c r="F593" s="3" t="s">
        <v>145</v>
      </c>
      <c r="G593" s="3" t="s">
        <v>118</v>
      </c>
      <c r="H593" s="3" t="s">
        <v>20</v>
      </c>
      <c r="I593" s="3">
        <v>350</v>
      </c>
      <c r="J593" s="3" t="s">
        <v>102</v>
      </c>
      <c r="K593" s="3" t="s">
        <v>7</v>
      </c>
      <c r="L593" s="3" t="s">
        <v>82</v>
      </c>
      <c r="M593" s="4">
        <v>159900</v>
      </c>
      <c r="N593" s="5">
        <v>14.6</v>
      </c>
      <c r="O593" s="4">
        <f t="shared" si="18"/>
        <v>23345.4</v>
      </c>
      <c r="P593" s="4">
        <f t="shared" si="19"/>
        <v>136554.6</v>
      </c>
      <c r="Q593" s="3" t="s">
        <v>36</v>
      </c>
      <c r="R593" s="3" t="s">
        <v>67</v>
      </c>
      <c r="S593" s="3" t="s">
        <v>67</v>
      </c>
      <c r="T593" s="3" t="s">
        <v>32</v>
      </c>
    </row>
    <row r="594" spans="1:20" ht="15" customHeight="1" x14ac:dyDescent="0.3">
      <c r="A594" s="3" t="s">
        <v>1809</v>
      </c>
      <c r="B594" s="3" t="s">
        <v>326</v>
      </c>
      <c r="C594" s="3" t="s">
        <v>0</v>
      </c>
      <c r="D594" s="3" t="s">
        <v>886</v>
      </c>
      <c r="E594" s="3" t="s">
        <v>1810</v>
      </c>
      <c r="F594" s="3" t="s">
        <v>134</v>
      </c>
      <c r="G594" s="3" t="s">
        <v>316</v>
      </c>
      <c r="H594" s="3" t="s">
        <v>19</v>
      </c>
      <c r="I594" s="3">
        <v>150</v>
      </c>
      <c r="J594" s="3" t="s">
        <v>243</v>
      </c>
      <c r="K594" s="3" t="s">
        <v>5</v>
      </c>
      <c r="L594" s="3" t="s">
        <v>74</v>
      </c>
      <c r="M594" s="4">
        <v>109900</v>
      </c>
      <c r="N594" s="5">
        <v>10.7</v>
      </c>
      <c r="O594" s="4">
        <f t="shared" si="18"/>
        <v>11759.3</v>
      </c>
      <c r="P594" s="4">
        <f t="shared" si="19"/>
        <v>98140.7</v>
      </c>
      <c r="Q594" s="3" t="s">
        <v>31</v>
      </c>
      <c r="R594" s="3" t="s">
        <v>67</v>
      </c>
      <c r="S594" s="3" t="s">
        <v>68</v>
      </c>
      <c r="T594" s="3" t="s">
        <v>32</v>
      </c>
    </row>
    <row r="595" spans="1:20" ht="15" customHeight="1" x14ac:dyDescent="0.3">
      <c r="A595" s="3" t="s">
        <v>1811</v>
      </c>
      <c r="B595" s="3" t="s">
        <v>186</v>
      </c>
      <c r="C595" s="3" t="s">
        <v>6</v>
      </c>
      <c r="D595" s="3" t="s">
        <v>1812</v>
      </c>
      <c r="E595" s="3" t="s">
        <v>1813</v>
      </c>
      <c r="F595" s="3" t="s">
        <v>174</v>
      </c>
      <c r="G595" s="3" t="s">
        <v>324</v>
      </c>
      <c r="H595" s="3" t="s">
        <v>19</v>
      </c>
      <c r="I595" s="3">
        <v>149</v>
      </c>
      <c r="J595" s="3" t="s">
        <v>96</v>
      </c>
      <c r="K595" s="3" t="s">
        <v>11</v>
      </c>
      <c r="L595" s="3" t="s">
        <v>97</v>
      </c>
      <c r="M595" s="4">
        <v>119900</v>
      </c>
      <c r="N595" s="5">
        <v>14.4</v>
      </c>
      <c r="O595" s="4">
        <f t="shared" si="18"/>
        <v>17265.599999999999</v>
      </c>
      <c r="P595" s="4">
        <f t="shared" si="19"/>
        <v>102634.4</v>
      </c>
      <c r="Q595" s="3" t="s">
        <v>36</v>
      </c>
      <c r="R595" s="3" t="s">
        <v>67</v>
      </c>
      <c r="S595" s="3" t="s">
        <v>68</v>
      </c>
      <c r="T595" s="3" t="s">
        <v>29</v>
      </c>
    </row>
    <row r="596" spans="1:20" ht="15" customHeight="1" x14ac:dyDescent="0.3">
      <c r="A596" s="3" t="s">
        <v>1814</v>
      </c>
      <c r="B596" s="3" t="s">
        <v>448</v>
      </c>
      <c r="C596" s="3" t="s">
        <v>17</v>
      </c>
      <c r="D596" s="3" t="s">
        <v>1206</v>
      </c>
      <c r="E596" s="3" t="s">
        <v>1815</v>
      </c>
      <c r="F596" s="3" t="s">
        <v>117</v>
      </c>
      <c r="G596" s="3" t="s">
        <v>169</v>
      </c>
      <c r="H596" s="3" t="s">
        <v>18</v>
      </c>
      <c r="I596" s="3">
        <v>162</v>
      </c>
      <c r="J596" s="3" t="s">
        <v>119</v>
      </c>
      <c r="K596" s="3" t="s">
        <v>7</v>
      </c>
      <c r="L596" s="3" t="s">
        <v>97</v>
      </c>
      <c r="M596" s="4">
        <v>124900</v>
      </c>
      <c r="N596" s="5">
        <v>13.7</v>
      </c>
      <c r="O596" s="4">
        <f t="shared" si="18"/>
        <v>17111.3</v>
      </c>
      <c r="P596" s="4">
        <f t="shared" si="19"/>
        <v>107788.7</v>
      </c>
      <c r="Q596" s="3" t="s">
        <v>40</v>
      </c>
      <c r="R596" s="3" t="s">
        <v>67</v>
      </c>
      <c r="S596" s="3" t="s">
        <v>68</v>
      </c>
      <c r="T596" s="3" t="s">
        <v>26</v>
      </c>
    </row>
    <row r="597" spans="1:20" ht="15" customHeight="1" x14ac:dyDescent="0.3">
      <c r="A597" s="3" t="s">
        <v>1816</v>
      </c>
      <c r="B597" s="3" t="s">
        <v>366</v>
      </c>
      <c r="C597" s="3" t="s">
        <v>4</v>
      </c>
      <c r="D597" s="3" t="s">
        <v>1817</v>
      </c>
      <c r="E597" s="3" t="s">
        <v>1818</v>
      </c>
      <c r="F597" s="3" t="s">
        <v>145</v>
      </c>
      <c r="G597" s="3" t="s">
        <v>169</v>
      </c>
      <c r="H597" s="3" t="s">
        <v>18</v>
      </c>
      <c r="I597" s="3">
        <v>162</v>
      </c>
      <c r="J597" s="3" t="s">
        <v>65</v>
      </c>
      <c r="K597" s="3" t="s">
        <v>3</v>
      </c>
      <c r="L597" s="3" t="s">
        <v>66</v>
      </c>
      <c r="M597" s="4">
        <v>124900</v>
      </c>
      <c r="N597" s="5">
        <v>8.8000000000000007</v>
      </c>
      <c r="O597" s="4">
        <f t="shared" si="18"/>
        <v>10991.2</v>
      </c>
      <c r="P597" s="4">
        <f t="shared" si="19"/>
        <v>113908.8</v>
      </c>
      <c r="Q597" s="3" t="s">
        <v>34</v>
      </c>
      <c r="R597" s="3" t="s">
        <v>67</v>
      </c>
      <c r="S597" s="3" t="s">
        <v>68</v>
      </c>
      <c r="T597" s="3" t="s">
        <v>26</v>
      </c>
    </row>
    <row r="598" spans="1:20" ht="15" customHeight="1" x14ac:dyDescent="0.3">
      <c r="A598" s="3" t="s">
        <v>1819</v>
      </c>
      <c r="B598" s="3" t="s">
        <v>759</v>
      </c>
      <c r="C598" s="3" t="s">
        <v>8</v>
      </c>
      <c r="D598" s="3" t="s">
        <v>1528</v>
      </c>
      <c r="E598" s="3" t="s">
        <v>1820</v>
      </c>
      <c r="F598" s="3" t="s">
        <v>174</v>
      </c>
      <c r="G598" s="3" t="s">
        <v>184</v>
      </c>
      <c r="H598" s="3" t="s">
        <v>18</v>
      </c>
      <c r="I598" s="3">
        <v>125</v>
      </c>
      <c r="J598" s="3" t="s">
        <v>243</v>
      </c>
      <c r="K598" s="3" t="s">
        <v>11</v>
      </c>
      <c r="L598" s="3" t="s">
        <v>82</v>
      </c>
      <c r="M598" s="4">
        <v>79900</v>
      </c>
      <c r="N598" s="5">
        <v>13.9</v>
      </c>
      <c r="O598" s="4">
        <f t="shared" si="18"/>
        <v>11106.1</v>
      </c>
      <c r="P598" s="4">
        <f t="shared" si="19"/>
        <v>68793.899999999994</v>
      </c>
      <c r="Q598" s="3" t="s">
        <v>36</v>
      </c>
      <c r="R598" s="3" t="s">
        <v>67</v>
      </c>
      <c r="S598" s="3" t="s">
        <v>67</v>
      </c>
      <c r="T598" s="3" t="s">
        <v>32</v>
      </c>
    </row>
    <row r="599" spans="1:20" ht="15" customHeight="1" x14ac:dyDescent="0.3">
      <c r="A599" s="3" t="s">
        <v>1821</v>
      </c>
      <c r="B599" s="3" t="s">
        <v>121</v>
      </c>
      <c r="C599" s="3" t="s">
        <v>13</v>
      </c>
      <c r="D599" s="3" t="s">
        <v>1822</v>
      </c>
      <c r="E599" s="3" t="s">
        <v>1823</v>
      </c>
      <c r="F599" s="3" t="s">
        <v>134</v>
      </c>
      <c r="G599" s="3" t="s">
        <v>64</v>
      </c>
      <c r="H599" s="3" t="s">
        <v>19</v>
      </c>
      <c r="I599" s="3">
        <v>200</v>
      </c>
      <c r="J599" s="3" t="s">
        <v>243</v>
      </c>
      <c r="K599" s="3" t="s">
        <v>5</v>
      </c>
      <c r="L599" s="3" t="s">
        <v>136</v>
      </c>
      <c r="M599" s="4">
        <v>199900</v>
      </c>
      <c r="N599" s="5">
        <v>14.1</v>
      </c>
      <c r="O599" s="4">
        <f t="shared" si="18"/>
        <v>28185.9</v>
      </c>
      <c r="P599" s="4">
        <f t="shared" si="19"/>
        <v>171714.1</v>
      </c>
      <c r="Q599" s="3" t="s">
        <v>34</v>
      </c>
      <c r="R599" s="3" t="s">
        <v>67</v>
      </c>
      <c r="S599" s="3" t="s">
        <v>68</v>
      </c>
      <c r="T599" s="3" t="s">
        <v>26</v>
      </c>
    </row>
    <row r="600" spans="1:20" ht="15" customHeight="1" x14ac:dyDescent="0.3">
      <c r="A600" s="3" t="s">
        <v>1824</v>
      </c>
      <c r="B600" s="3" t="s">
        <v>732</v>
      </c>
      <c r="C600" s="3" t="s">
        <v>8</v>
      </c>
      <c r="D600" s="3" t="s">
        <v>1825</v>
      </c>
      <c r="E600" s="3" t="s">
        <v>1826</v>
      </c>
      <c r="F600" s="3" t="s">
        <v>112</v>
      </c>
      <c r="G600" s="3" t="s">
        <v>73</v>
      </c>
      <c r="H600" s="3" t="s">
        <v>21</v>
      </c>
      <c r="I600" s="3">
        <v>110</v>
      </c>
      <c r="J600" s="3" t="s">
        <v>81</v>
      </c>
      <c r="K600" s="3" t="s">
        <v>3</v>
      </c>
      <c r="L600" s="3" t="s">
        <v>90</v>
      </c>
      <c r="M600" s="4">
        <v>79900</v>
      </c>
      <c r="N600" s="5">
        <v>5</v>
      </c>
      <c r="O600" s="4">
        <f t="shared" si="18"/>
        <v>3995</v>
      </c>
      <c r="P600" s="4">
        <f t="shared" si="19"/>
        <v>75905</v>
      </c>
      <c r="Q600" s="3" t="s">
        <v>36</v>
      </c>
      <c r="R600" s="3" t="s">
        <v>67</v>
      </c>
      <c r="S600" s="3" t="s">
        <v>68</v>
      </c>
      <c r="T600" s="3" t="s">
        <v>26</v>
      </c>
    </row>
    <row r="601" spans="1:20" ht="15" customHeight="1" x14ac:dyDescent="0.3">
      <c r="A601" s="3" t="s">
        <v>1827</v>
      </c>
      <c r="B601" s="3" t="s">
        <v>501</v>
      </c>
      <c r="C601" s="3" t="s">
        <v>12</v>
      </c>
      <c r="D601" s="3" t="s">
        <v>1828</v>
      </c>
      <c r="E601" s="3" t="s">
        <v>1829</v>
      </c>
      <c r="F601" s="3" t="s">
        <v>155</v>
      </c>
      <c r="G601" s="3" t="s">
        <v>169</v>
      </c>
      <c r="H601" s="3" t="s">
        <v>18</v>
      </c>
      <c r="I601" s="3">
        <v>162</v>
      </c>
      <c r="J601" s="3" t="s">
        <v>164</v>
      </c>
      <c r="K601" s="3" t="s">
        <v>1</v>
      </c>
      <c r="L601" s="3" t="s">
        <v>97</v>
      </c>
      <c r="M601" s="4">
        <v>124900</v>
      </c>
      <c r="N601" s="5">
        <v>8.1</v>
      </c>
      <c r="O601" s="4">
        <f t="shared" si="18"/>
        <v>10116.9</v>
      </c>
      <c r="P601" s="4">
        <f t="shared" si="19"/>
        <v>114783.1</v>
      </c>
      <c r="Q601" s="3" t="s">
        <v>25</v>
      </c>
      <c r="R601" s="3" t="s">
        <v>67</v>
      </c>
      <c r="S601" s="3" t="s">
        <v>68</v>
      </c>
      <c r="T601" s="3" t="s">
        <v>26</v>
      </c>
    </row>
    <row r="602" spans="1:20" ht="15" customHeight="1" x14ac:dyDescent="0.3">
      <c r="A602" s="3" t="s">
        <v>1830</v>
      </c>
      <c r="B602" s="3" t="s">
        <v>152</v>
      </c>
      <c r="C602" s="3" t="s">
        <v>6</v>
      </c>
      <c r="D602" s="3" t="s">
        <v>835</v>
      </c>
      <c r="E602" s="3" t="s">
        <v>1831</v>
      </c>
      <c r="F602" s="3" t="s">
        <v>63</v>
      </c>
      <c r="G602" s="3" t="s">
        <v>118</v>
      </c>
      <c r="H602" s="3" t="s">
        <v>20</v>
      </c>
      <c r="I602" s="3">
        <v>350</v>
      </c>
      <c r="J602" s="3" t="s">
        <v>81</v>
      </c>
      <c r="K602" s="3" t="s">
        <v>5</v>
      </c>
      <c r="L602" s="3" t="s">
        <v>97</v>
      </c>
      <c r="M602" s="4">
        <v>159900</v>
      </c>
      <c r="N602" s="5">
        <v>11.6</v>
      </c>
      <c r="O602" s="4">
        <f t="shared" si="18"/>
        <v>18548.400000000001</v>
      </c>
      <c r="P602" s="4">
        <f t="shared" si="19"/>
        <v>141351.6</v>
      </c>
      <c r="Q602" s="3" t="s">
        <v>36</v>
      </c>
      <c r="R602" s="3" t="s">
        <v>68</v>
      </c>
      <c r="S602" s="3" t="s">
        <v>67</v>
      </c>
      <c r="T602" s="3" t="s">
        <v>26</v>
      </c>
    </row>
    <row r="603" spans="1:20" ht="15" customHeight="1" x14ac:dyDescent="0.3">
      <c r="A603" s="3" t="s">
        <v>1832</v>
      </c>
      <c r="B603" s="3" t="s">
        <v>467</v>
      </c>
      <c r="C603" s="3" t="s">
        <v>14</v>
      </c>
      <c r="D603" s="3" t="s">
        <v>1833</v>
      </c>
      <c r="E603" s="3" t="s">
        <v>1834</v>
      </c>
      <c r="F603" s="3" t="s">
        <v>117</v>
      </c>
      <c r="G603" s="3" t="s">
        <v>316</v>
      </c>
      <c r="H603" s="3" t="s">
        <v>19</v>
      </c>
      <c r="I603" s="3">
        <v>150</v>
      </c>
      <c r="J603" s="3" t="s">
        <v>102</v>
      </c>
      <c r="K603" s="3" t="s">
        <v>11</v>
      </c>
      <c r="L603" s="3" t="s">
        <v>97</v>
      </c>
      <c r="M603" s="4">
        <v>109900</v>
      </c>
      <c r="N603" s="5">
        <v>4.4000000000000004</v>
      </c>
      <c r="O603" s="4">
        <f t="shared" si="18"/>
        <v>4835.6000000000004</v>
      </c>
      <c r="P603" s="4">
        <f t="shared" si="19"/>
        <v>105064.4</v>
      </c>
      <c r="Q603" s="3" t="s">
        <v>28</v>
      </c>
      <c r="R603" s="3" t="s">
        <v>68</v>
      </c>
      <c r="S603" s="3" t="s">
        <v>68</v>
      </c>
      <c r="T603" s="3" t="s">
        <v>26</v>
      </c>
    </row>
    <row r="604" spans="1:20" ht="15" customHeight="1" x14ac:dyDescent="0.3">
      <c r="A604" s="3" t="s">
        <v>1835</v>
      </c>
      <c r="B604" s="3" t="s">
        <v>148</v>
      </c>
      <c r="C604" s="3" t="s">
        <v>8</v>
      </c>
      <c r="D604" s="3" t="s">
        <v>835</v>
      </c>
      <c r="E604" s="3" t="s">
        <v>1836</v>
      </c>
      <c r="F604" s="3" t="s">
        <v>63</v>
      </c>
      <c r="G604" s="3" t="s">
        <v>169</v>
      </c>
      <c r="H604" s="3" t="s">
        <v>18</v>
      </c>
      <c r="I604" s="3">
        <v>162</v>
      </c>
      <c r="J604" s="3" t="s">
        <v>119</v>
      </c>
      <c r="K604" s="3" t="s">
        <v>9</v>
      </c>
      <c r="L604" s="3" t="s">
        <v>90</v>
      </c>
      <c r="M604" s="4">
        <v>124900</v>
      </c>
      <c r="N604" s="5">
        <v>4.4000000000000004</v>
      </c>
      <c r="O604" s="4">
        <f t="shared" si="18"/>
        <v>5495.6</v>
      </c>
      <c r="P604" s="4">
        <f t="shared" si="19"/>
        <v>119404.4</v>
      </c>
      <c r="Q604" s="3" t="s">
        <v>25</v>
      </c>
      <c r="R604" s="3" t="s">
        <v>67</v>
      </c>
      <c r="S604" s="3" t="s">
        <v>67</v>
      </c>
      <c r="T604" s="3" t="s">
        <v>26</v>
      </c>
    </row>
    <row r="605" spans="1:20" ht="15" customHeight="1" x14ac:dyDescent="0.3">
      <c r="A605" s="3" t="s">
        <v>1837</v>
      </c>
      <c r="B605" s="3" t="s">
        <v>421</v>
      </c>
      <c r="C605" s="3" t="s">
        <v>15</v>
      </c>
      <c r="D605" s="3" t="s">
        <v>1298</v>
      </c>
      <c r="E605" s="3" t="s">
        <v>1838</v>
      </c>
      <c r="F605" s="3" t="s">
        <v>112</v>
      </c>
      <c r="G605" s="3" t="s">
        <v>156</v>
      </c>
      <c r="H605" s="3" t="s">
        <v>21</v>
      </c>
      <c r="I605" s="3">
        <v>125</v>
      </c>
      <c r="J605" s="3" t="s">
        <v>65</v>
      </c>
      <c r="K605" s="3" t="s">
        <v>5</v>
      </c>
      <c r="L605" s="3" t="s">
        <v>66</v>
      </c>
      <c r="M605" s="4">
        <v>88900</v>
      </c>
      <c r="N605" s="5">
        <v>13.4</v>
      </c>
      <c r="O605" s="4">
        <f t="shared" si="18"/>
        <v>11912.6</v>
      </c>
      <c r="P605" s="4">
        <f t="shared" si="19"/>
        <v>76987.399999999994</v>
      </c>
      <c r="Q605" s="3" t="s">
        <v>28</v>
      </c>
      <c r="R605" s="3" t="s">
        <v>68</v>
      </c>
      <c r="S605" s="3" t="s">
        <v>68</v>
      </c>
      <c r="T605" s="3" t="s">
        <v>26</v>
      </c>
    </row>
    <row r="606" spans="1:20" ht="15" customHeight="1" x14ac:dyDescent="0.3">
      <c r="A606" s="3" t="s">
        <v>1839</v>
      </c>
      <c r="B606" s="3" t="s">
        <v>395</v>
      </c>
      <c r="C606" s="3" t="s">
        <v>14</v>
      </c>
      <c r="D606" s="3" t="s">
        <v>1467</v>
      </c>
      <c r="E606" s="3" t="s">
        <v>1840</v>
      </c>
      <c r="F606" s="3" t="s">
        <v>124</v>
      </c>
      <c r="G606" s="3" t="s">
        <v>146</v>
      </c>
      <c r="H606" s="3" t="s">
        <v>18</v>
      </c>
      <c r="I606" s="3">
        <v>110</v>
      </c>
      <c r="J606" s="3" t="s">
        <v>81</v>
      </c>
      <c r="K606" s="3" t="s">
        <v>1</v>
      </c>
      <c r="L606" s="3" t="s">
        <v>97</v>
      </c>
      <c r="M606" s="4">
        <v>74900</v>
      </c>
      <c r="N606" s="5">
        <v>4.2</v>
      </c>
      <c r="O606" s="4">
        <f t="shared" si="18"/>
        <v>3145.8</v>
      </c>
      <c r="P606" s="4">
        <f t="shared" si="19"/>
        <v>71754.2</v>
      </c>
      <c r="Q606" s="3" t="s">
        <v>25</v>
      </c>
      <c r="R606" s="3" t="s">
        <v>67</v>
      </c>
      <c r="S606" s="3" t="s">
        <v>67</v>
      </c>
      <c r="T606" s="3" t="s">
        <v>26</v>
      </c>
    </row>
    <row r="607" spans="1:20" ht="15" customHeight="1" x14ac:dyDescent="0.3">
      <c r="A607" s="3" t="s">
        <v>1841</v>
      </c>
      <c r="B607" s="3" t="s">
        <v>84</v>
      </c>
      <c r="C607" s="3" t="s">
        <v>17</v>
      </c>
      <c r="D607" s="3" t="s">
        <v>1678</v>
      </c>
      <c r="E607" s="3" t="s">
        <v>1842</v>
      </c>
      <c r="F607" s="3" t="s">
        <v>134</v>
      </c>
      <c r="G607" s="3" t="s">
        <v>118</v>
      </c>
      <c r="H607" s="3" t="s">
        <v>20</v>
      </c>
      <c r="I607" s="3">
        <v>350</v>
      </c>
      <c r="J607" s="3" t="s">
        <v>102</v>
      </c>
      <c r="K607" s="3" t="s">
        <v>7</v>
      </c>
      <c r="L607" s="3" t="s">
        <v>136</v>
      </c>
      <c r="M607" s="4">
        <v>159900</v>
      </c>
      <c r="N607" s="5">
        <v>10</v>
      </c>
      <c r="O607" s="4">
        <f t="shared" si="18"/>
        <v>15990</v>
      </c>
      <c r="P607" s="4">
        <f t="shared" si="19"/>
        <v>143910</v>
      </c>
      <c r="Q607" s="3" t="s">
        <v>34</v>
      </c>
      <c r="R607" s="3" t="s">
        <v>67</v>
      </c>
      <c r="S607" s="3" t="s">
        <v>68</v>
      </c>
      <c r="T607" s="3" t="s">
        <v>32</v>
      </c>
    </row>
    <row r="608" spans="1:20" ht="15" customHeight="1" x14ac:dyDescent="0.3">
      <c r="A608" s="3" t="s">
        <v>1843</v>
      </c>
      <c r="B608" s="3" t="s">
        <v>826</v>
      </c>
      <c r="C608" s="3" t="s">
        <v>0</v>
      </c>
      <c r="D608" s="3" t="s">
        <v>1533</v>
      </c>
      <c r="E608" s="3" t="s">
        <v>1844</v>
      </c>
      <c r="F608" s="3" t="s">
        <v>79</v>
      </c>
      <c r="G608" s="3" t="s">
        <v>201</v>
      </c>
      <c r="H608" s="3" t="s">
        <v>19</v>
      </c>
      <c r="I608" s="3">
        <v>160</v>
      </c>
      <c r="J608" s="3" t="s">
        <v>179</v>
      </c>
      <c r="K608" s="3" t="s">
        <v>1</v>
      </c>
      <c r="L608" s="3" t="s">
        <v>103</v>
      </c>
      <c r="M608" s="4">
        <v>129900</v>
      </c>
      <c r="N608" s="5">
        <v>10</v>
      </c>
      <c r="O608" s="4">
        <f t="shared" si="18"/>
        <v>12990</v>
      </c>
      <c r="P608" s="4">
        <f t="shared" si="19"/>
        <v>116910</v>
      </c>
      <c r="Q608" s="3" t="s">
        <v>25</v>
      </c>
      <c r="R608" s="3" t="s">
        <v>68</v>
      </c>
      <c r="S608" s="3" t="s">
        <v>67</v>
      </c>
      <c r="T608" s="3" t="s">
        <v>26</v>
      </c>
    </row>
    <row r="609" spans="1:20" ht="15" customHeight="1" x14ac:dyDescent="0.3">
      <c r="A609" s="3" t="s">
        <v>1845</v>
      </c>
      <c r="B609" s="3" t="s">
        <v>493</v>
      </c>
      <c r="C609" s="3" t="s">
        <v>14</v>
      </c>
      <c r="D609" s="3" t="s">
        <v>1846</v>
      </c>
      <c r="E609" s="3" t="s">
        <v>1847</v>
      </c>
      <c r="F609" s="3" t="s">
        <v>87</v>
      </c>
      <c r="G609" s="3" t="s">
        <v>316</v>
      </c>
      <c r="H609" s="3" t="s">
        <v>19</v>
      </c>
      <c r="I609" s="3">
        <v>150</v>
      </c>
      <c r="J609" s="3" t="s">
        <v>243</v>
      </c>
      <c r="K609" s="3" t="s">
        <v>1</v>
      </c>
      <c r="L609" s="3" t="s">
        <v>206</v>
      </c>
      <c r="M609" s="4">
        <v>109900</v>
      </c>
      <c r="N609" s="5">
        <v>4.5999999999999996</v>
      </c>
      <c r="O609" s="4">
        <f t="shared" si="18"/>
        <v>5055.3999999999996</v>
      </c>
      <c r="P609" s="4">
        <f t="shared" si="19"/>
        <v>104844.6</v>
      </c>
      <c r="Q609" s="3" t="s">
        <v>34</v>
      </c>
      <c r="R609" s="3" t="s">
        <v>68</v>
      </c>
      <c r="S609" s="3" t="s">
        <v>67</v>
      </c>
      <c r="T609" s="3" t="s">
        <v>26</v>
      </c>
    </row>
    <row r="610" spans="1:20" ht="15" customHeight="1" x14ac:dyDescent="0.3">
      <c r="A610" s="3" t="s">
        <v>1848</v>
      </c>
      <c r="B610" s="3" t="s">
        <v>847</v>
      </c>
      <c r="C610" s="3" t="s">
        <v>13</v>
      </c>
      <c r="D610" s="3" t="s">
        <v>1849</v>
      </c>
      <c r="E610" s="3" t="s">
        <v>1850</v>
      </c>
      <c r="F610" s="3" t="s">
        <v>174</v>
      </c>
      <c r="G610" s="3" t="s">
        <v>64</v>
      </c>
      <c r="H610" s="3" t="s">
        <v>19</v>
      </c>
      <c r="I610" s="3">
        <v>200</v>
      </c>
      <c r="J610" s="3" t="s">
        <v>119</v>
      </c>
      <c r="K610" s="3" t="s">
        <v>5</v>
      </c>
      <c r="L610" s="3" t="s">
        <v>97</v>
      </c>
      <c r="M610" s="4">
        <v>199900</v>
      </c>
      <c r="N610" s="5">
        <v>10</v>
      </c>
      <c r="O610" s="4">
        <f t="shared" si="18"/>
        <v>19990</v>
      </c>
      <c r="P610" s="4">
        <f t="shared" si="19"/>
        <v>179910</v>
      </c>
      <c r="Q610" s="3" t="s">
        <v>31</v>
      </c>
      <c r="R610" s="3" t="s">
        <v>68</v>
      </c>
      <c r="S610" s="3" t="s">
        <v>68</v>
      </c>
      <c r="T610" s="3" t="s">
        <v>26</v>
      </c>
    </row>
    <row r="611" spans="1:20" ht="15" customHeight="1" x14ac:dyDescent="0.3">
      <c r="A611" s="3" t="s">
        <v>1851</v>
      </c>
      <c r="B611" s="3" t="s">
        <v>176</v>
      </c>
      <c r="C611" s="3" t="s">
        <v>10</v>
      </c>
      <c r="D611" s="3" t="s">
        <v>122</v>
      </c>
      <c r="E611" s="3" t="s">
        <v>1852</v>
      </c>
      <c r="F611" s="3" t="s">
        <v>117</v>
      </c>
      <c r="G611" s="3" t="s">
        <v>73</v>
      </c>
      <c r="H611" s="3" t="s">
        <v>21</v>
      </c>
      <c r="I611" s="3">
        <v>110</v>
      </c>
      <c r="J611" s="3" t="s">
        <v>164</v>
      </c>
      <c r="K611" s="3" t="s">
        <v>11</v>
      </c>
      <c r="L611" s="3" t="s">
        <v>90</v>
      </c>
      <c r="M611" s="4">
        <v>79900</v>
      </c>
      <c r="N611" s="5">
        <v>10</v>
      </c>
      <c r="O611" s="4">
        <f t="shared" si="18"/>
        <v>7990</v>
      </c>
      <c r="P611" s="4">
        <f t="shared" si="19"/>
        <v>71910</v>
      </c>
      <c r="Q611" s="3" t="s">
        <v>36</v>
      </c>
      <c r="R611" s="3" t="s">
        <v>68</v>
      </c>
      <c r="S611" s="3" t="s">
        <v>68</v>
      </c>
      <c r="T611" s="3" t="s">
        <v>26</v>
      </c>
    </row>
    <row r="612" spans="1:20" ht="15" customHeight="1" x14ac:dyDescent="0.3">
      <c r="A612" s="3" t="s">
        <v>1853</v>
      </c>
      <c r="B612" s="3" t="s">
        <v>213</v>
      </c>
      <c r="C612" s="3" t="s">
        <v>8</v>
      </c>
      <c r="D612" s="3" t="s">
        <v>1854</v>
      </c>
      <c r="E612" s="3" t="s">
        <v>1855</v>
      </c>
      <c r="F612" s="3" t="s">
        <v>134</v>
      </c>
      <c r="G612" s="3" t="s">
        <v>201</v>
      </c>
      <c r="H612" s="3" t="s">
        <v>19</v>
      </c>
      <c r="I612" s="3">
        <v>160</v>
      </c>
      <c r="J612" s="3" t="s">
        <v>96</v>
      </c>
      <c r="K612" s="3" t="s">
        <v>1</v>
      </c>
      <c r="L612" s="3" t="s">
        <v>103</v>
      </c>
      <c r="M612" s="4">
        <v>129900</v>
      </c>
      <c r="N612" s="5">
        <v>6.4</v>
      </c>
      <c r="O612" s="4">
        <f t="shared" si="18"/>
        <v>8313.6</v>
      </c>
      <c r="P612" s="4">
        <f t="shared" si="19"/>
        <v>121586.4</v>
      </c>
      <c r="Q612" s="3" t="s">
        <v>34</v>
      </c>
      <c r="R612" s="3" t="s">
        <v>67</v>
      </c>
      <c r="S612" s="3" t="s">
        <v>68</v>
      </c>
      <c r="T612" s="3" t="s">
        <v>29</v>
      </c>
    </row>
    <row r="613" spans="1:20" ht="15" customHeight="1" x14ac:dyDescent="0.3">
      <c r="A613" s="3" t="s">
        <v>1856</v>
      </c>
      <c r="B613" s="3" t="s">
        <v>826</v>
      </c>
      <c r="C613" s="3" t="s">
        <v>0</v>
      </c>
      <c r="D613" s="3" t="s">
        <v>1857</v>
      </c>
      <c r="E613" s="3" t="s">
        <v>1858</v>
      </c>
      <c r="F613" s="3" t="s">
        <v>155</v>
      </c>
      <c r="G613" s="3" t="s">
        <v>146</v>
      </c>
      <c r="H613" s="3" t="s">
        <v>18</v>
      </c>
      <c r="I613" s="3">
        <v>110</v>
      </c>
      <c r="J613" s="3" t="s">
        <v>81</v>
      </c>
      <c r="K613" s="3" t="s">
        <v>7</v>
      </c>
      <c r="L613" s="3" t="s">
        <v>103</v>
      </c>
      <c r="M613" s="4">
        <v>74900</v>
      </c>
      <c r="N613" s="5">
        <v>14.1</v>
      </c>
      <c r="O613" s="4">
        <f t="shared" si="18"/>
        <v>10560.9</v>
      </c>
      <c r="P613" s="4">
        <f t="shared" si="19"/>
        <v>64339.1</v>
      </c>
      <c r="Q613" s="3" t="s">
        <v>25</v>
      </c>
      <c r="R613" s="3" t="s">
        <v>67</v>
      </c>
      <c r="S613" s="3" t="s">
        <v>68</v>
      </c>
      <c r="T613" s="3" t="s">
        <v>29</v>
      </c>
    </row>
    <row r="614" spans="1:20" ht="15" customHeight="1" x14ac:dyDescent="0.3">
      <c r="A614" s="3" t="s">
        <v>1859</v>
      </c>
      <c r="B614" s="3" t="s">
        <v>318</v>
      </c>
      <c r="C614" s="3" t="s">
        <v>10</v>
      </c>
      <c r="D614" s="3" t="s">
        <v>1860</v>
      </c>
      <c r="E614" s="3" t="s">
        <v>1861</v>
      </c>
      <c r="F614" s="3" t="s">
        <v>134</v>
      </c>
      <c r="G614" s="3" t="s">
        <v>184</v>
      </c>
      <c r="H614" s="3" t="s">
        <v>18</v>
      </c>
      <c r="I614" s="3">
        <v>125</v>
      </c>
      <c r="J614" s="3" t="s">
        <v>129</v>
      </c>
      <c r="K614" s="3" t="s">
        <v>7</v>
      </c>
      <c r="L614" s="3" t="s">
        <v>90</v>
      </c>
      <c r="M614" s="4">
        <v>79900</v>
      </c>
      <c r="N614" s="5">
        <v>9.1999999999999993</v>
      </c>
      <c r="O614" s="4">
        <f t="shared" si="18"/>
        <v>7350.8</v>
      </c>
      <c r="P614" s="4">
        <f t="shared" si="19"/>
        <v>72549.2</v>
      </c>
      <c r="Q614" s="3" t="s">
        <v>25</v>
      </c>
      <c r="R614" s="3" t="s">
        <v>68</v>
      </c>
      <c r="S614" s="3" t="s">
        <v>67</v>
      </c>
      <c r="T614" s="3" t="s">
        <v>26</v>
      </c>
    </row>
    <row r="615" spans="1:20" ht="15" customHeight="1" x14ac:dyDescent="0.3">
      <c r="A615" s="3" t="s">
        <v>1862</v>
      </c>
      <c r="B615" s="3" t="s">
        <v>158</v>
      </c>
      <c r="C615" s="3" t="s">
        <v>10</v>
      </c>
      <c r="D615" s="3" t="s">
        <v>1863</v>
      </c>
      <c r="E615" s="3" t="s">
        <v>1864</v>
      </c>
      <c r="F615" s="3" t="s">
        <v>145</v>
      </c>
      <c r="G615" s="3" t="s">
        <v>316</v>
      </c>
      <c r="H615" s="3" t="s">
        <v>19</v>
      </c>
      <c r="I615" s="3">
        <v>150</v>
      </c>
      <c r="J615" s="3" t="s">
        <v>243</v>
      </c>
      <c r="K615" s="3" t="s">
        <v>7</v>
      </c>
      <c r="L615" s="3" t="s">
        <v>74</v>
      </c>
      <c r="M615" s="4">
        <v>109900</v>
      </c>
      <c r="N615" s="5">
        <v>7.1</v>
      </c>
      <c r="O615" s="4">
        <f t="shared" si="18"/>
        <v>7802.9</v>
      </c>
      <c r="P615" s="4">
        <f t="shared" si="19"/>
        <v>102097.1</v>
      </c>
      <c r="Q615" s="3" t="s">
        <v>38</v>
      </c>
      <c r="R615" s="3" t="s">
        <v>67</v>
      </c>
      <c r="S615" s="3" t="s">
        <v>68</v>
      </c>
      <c r="T615" s="3" t="s">
        <v>32</v>
      </c>
    </row>
    <row r="616" spans="1:20" ht="15" customHeight="1" x14ac:dyDescent="0.3">
      <c r="A616" s="3" t="s">
        <v>1865</v>
      </c>
      <c r="B616" s="3" t="s">
        <v>203</v>
      </c>
      <c r="C616" s="3" t="s">
        <v>10</v>
      </c>
      <c r="D616" s="3" t="s">
        <v>1458</v>
      </c>
      <c r="E616" s="3" t="s">
        <v>1866</v>
      </c>
      <c r="F616" s="3" t="s">
        <v>87</v>
      </c>
      <c r="G616" s="3" t="s">
        <v>135</v>
      </c>
      <c r="H616" s="3" t="s">
        <v>19</v>
      </c>
      <c r="I616" s="3">
        <v>160</v>
      </c>
      <c r="J616" s="3" t="s">
        <v>65</v>
      </c>
      <c r="K616" s="3" t="s">
        <v>9</v>
      </c>
      <c r="L616" s="3" t="s">
        <v>103</v>
      </c>
      <c r="M616" s="4">
        <v>124900</v>
      </c>
      <c r="N616" s="5">
        <v>5.2</v>
      </c>
      <c r="O616" s="4">
        <f t="shared" si="18"/>
        <v>6494.8</v>
      </c>
      <c r="P616" s="4">
        <f t="shared" si="19"/>
        <v>118405.2</v>
      </c>
      <c r="Q616" s="3" t="s">
        <v>38</v>
      </c>
      <c r="R616" s="3" t="s">
        <v>67</v>
      </c>
      <c r="S616" s="3" t="s">
        <v>68</v>
      </c>
      <c r="T616" s="3" t="s">
        <v>29</v>
      </c>
    </row>
    <row r="617" spans="1:20" ht="15" customHeight="1" x14ac:dyDescent="0.3">
      <c r="A617" s="3" t="s">
        <v>1867</v>
      </c>
      <c r="B617" s="3" t="s">
        <v>326</v>
      </c>
      <c r="C617" s="3" t="s">
        <v>0</v>
      </c>
      <c r="D617" s="3" t="s">
        <v>1868</v>
      </c>
      <c r="E617" s="3" t="s">
        <v>1869</v>
      </c>
      <c r="F617" s="3" t="s">
        <v>134</v>
      </c>
      <c r="G617" s="3" t="s">
        <v>118</v>
      </c>
      <c r="H617" s="3" t="s">
        <v>20</v>
      </c>
      <c r="I617" s="3">
        <v>350</v>
      </c>
      <c r="J617" s="3" t="s">
        <v>102</v>
      </c>
      <c r="K617" s="3" t="s">
        <v>7</v>
      </c>
      <c r="L617" s="3" t="s">
        <v>97</v>
      </c>
      <c r="M617" s="4">
        <v>159900</v>
      </c>
      <c r="N617" s="5">
        <v>6.9</v>
      </c>
      <c r="O617" s="4">
        <f t="shared" si="18"/>
        <v>11033.1</v>
      </c>
      <c r="P617" s="4">
        <f t="shared" si="19"/>
        <v>148866.9</v>
      </c>
      <c r="Q617" s="3" t="s">
        <v>28</v>
      </c>
      <c r="R617" s="3" t="s">
        <v>67</v>
      </c>
      <c r="S617" s="3" t="s">
        <v>67</v>
      </c>
      <c r="T617" s="3" t="s">
        <v>26</v>
      </c>
    </row>
    <row r="618" spans="1:20" ht="15" customHeight="1" x14ac:dyDescent="0.3">
      <c r="A618" s="3" t="s">
        <v>1870</v>
      </c>
      <c r="B618" s="3" t="s">
        <v>249</v>
      </c>
      <c r="C618" s="3" t="s">
        <v>13</v>
      </c>
      <c r="D618" s="3" t="s">
        <v>1871</v>
      </c>
      <c r="E618" s="3" t="s">
        <v>1872</v>
      </c>
      <c r="F618" s="3" t="s">
        <v>145</v>
      </c>
      <c r="G618" s="3" t="s">
        <v>222</v>
      </c>
      <c r="H618" s="3" t="s">
        <v>19</v>
      </c>
      <c r="I618" s="3">
        <v>155</v>
      </c>
      <c r="J618" s="3" t="s">
        <v>65</v>
      </c>
      <c r="K618" s="3" t="s">
        <v>5</v>
      </c>
      <c r="L618" s="3" t="s">
        <v>74</v>
      </c>
      <c r="M618" s="4">
        <v>167900</v>
      </c>
      <c r="N618" s="5">
        <v>6.7</v>
      </c>
      <c r="O618" s="4">
        <f t="shared" si="18"/>
        <v>11249.3</v>
      </c>
      <c r="P618" s="4">
        <f t="shared" si="19"/>
        <v>156650.70000000001</v>
      </c>
      <c r="Q618" s="3" t="s">
        <v>31</v>
      </c>
      <c r="R618" s="3" t="s">
        <v>67</v>
      </c>
      <c r="S618" s="3" t="s">
        <v>68</v>
      </c>
      <c r="T618" s="3" t="s">
        <v>26</v>
      </c>
    </row>
    <row r="619" spans="1:20" ht="15" customHeight="1" x14ac:dyDescent="0.3">
      <c r="A619" s="3" t="s">
        <v>1873</v>
      </c>
      <c r="B619" s="3" t="s">
        <v>614</v>
      </c>
      <c r="C619" s="3" t="s">
        <v>13</v>
      </c>
      <c r="D619" s="3" t="s">
        <v>1270</v>
      </c>
      <c r="E619" s="3" t="s">
        <v>1874</v>
      </c>
      <c r="F619" s="3" t="s">
        <v>87</v>
      </c>
      <c r="G619" s="3" t="s">
        <v>184</v>
      </c>
      <c r="H619" s="3" t="s">
        <v>18</v>
      </c>
      <c r="I619" s="3">
        <v>125</v>
      </c>
      <c r="J619" s="3" t="s">
        <v>243</v>
      </c>
      <c r="K619" s="3" t="s">
        <v>11</v>
      </c>
      <c r="L619" s="3" t="s">
        <v>206</v>
      </c>
      <c r="M619" s="4">
        <v>79900</v>
      </c>
      <c r="N619" s="5">
        <v>4.3</v>
      </c>
      <c r="O619" s="4">
        <f t="shared" si="18"/>
        <v>3435.7</v>
      </c>
      <c r="P619" s="4">
        <f t="shared" si="19"/>
        <v>76464.3</v>
      </c>
      <c r="Q619" s="3" t="s">
        <v>40</v>
      </c>
      <c r="R619" s="3" t="s">
        <v>68</v>
      </c>
      <c r="S619" s="3" t="s">
        <v>68</v>
      </c>
      <c r="T619" s="3" t="s">
        <v>26</v>
      </c>
    </row>
    <row r="620" spans="1:20" ht="15" customHeight="1" x14ac:dyDescent="0.3">
      <c r="A620" s="3" t="s">
        <v>1875</v>
      </c>
      <c r="B620" s="3" t="s">
        <v>203</v>
      </c>
      <c r="C620" s="3" t="s">
        <v>10</v>
      </c>
      <c r="D620" s="3" t="s">
        <v>690</v>
      </c>
      <c r="E620" s="3" t="s">
        <v>1876</v>
      </c>
      <c r="F620" s="3" t="s">
        <v>145</v>
      </c>
      <c r="G620" s="3" t="s">
        <v>146</v>
      </c>
      <c r="H620" s="3" t="s">
        <v>18</v>
      </c>
      <c r="I620" s="3">
        <v>110</v>
      </c>
      <c r="J620" s="3" t="s">
        <v>65</v>
      </c>
      <c r="K620" s="3" t="s">
        <v>3</v>
      </c>
      <c r="L620" s="3" t="s">
        <v>97</v>
      </c>
      <c r="M620" s="4">
        <v>74900</v>
      </c>
      <c r="N620" s="5">
        <v>11.3</v>
      </c>
      <c r="O620" s="4">
        <f t="shared" si="18"/>
        <v>8463.7000000000007</v>
      </c>
      <c r="P620" s="4">
        <f t="shared" si="19"/>
        <v>66436.3</v>
      </c>
      <c r="Q620" s="3" t="s">
        <v>31</v>
      </c>
      <c r="R620" s="3" t="s">
        <v>67</v>
      </c>
      <c r="S620" s="3" t="s">
        <v>67</v>
      </c>
      <c r="T620" s="3" t="s">
        <v>26</v>
      </c>
    </row>
    <row r="621" spans="1:20" ht="15" customHeight="1" x14ac:dyDescent="0.3">
      <c r="A621" s="3" t="s">
        <v>1877</v>
      </c>
      <c r="B621" s="3" t="s">
        <v>70</v>
      </c>
      <c r="C621" s="3" t="s">
        <v>2</v>
      </c>
      <c r="D621" s="3" t="s">
        <v>1878</v>
      </c>
      <c r="E621" s="3" t="s">
        <v>1879</v>
      </c>
      <c r="F621" s="3" t="s">
        <v>134</v>
      </c>
      <c r="G621" s="3" t="s">
        <v>189</v>
      </c>
      <c r="H621" s="3" t="s">
        <v>18</v>
      </c>
      <c r="I621" s="3">
        <v>100</v>
      </c>
      <c r="J621" s="3" t="s">
        <v>102</v>
      </c>
      <c r="K621" s="3" t="s">
        <v>7</v>
      </c>
      <c r="L621" s="3" t="s">
        <v>136</v>
      </c>
      <c r="M621" s="4">
        <v>72900</v>
      </c>
      <c r="N621" s="5">
        <v>6.1</v>
      </c>
      <c r="O621" s="4">
        <f t="shared" si="18"/>
        <v>4446.8999999999996</v>
      </c>
      <c r="P621" s="4">
        <f t="shared" si="19"/>
        <v>68453.100000000006</v>
      </c>
      <c r="Q621" s="3" t="s">
        <v>28</v>
      </c>
      <c r="R621" s="3" t="s">
        <v>68</v>
      </c>
      <c r="S621" s="3" t="s">
        <v>67</v>
      </c>
      <c r="T621" s="3" t="s">
        <v>26</v>
      </c>
    </row>
    <row r="622" spans="1:20" ht="15" customHeight="1" x14ac:dyDescent="0.3">
      <c r="A622" s="3" t="s">
        <v>1880</v>
      </c>
      <c r="B622" s="3" t="s">
        <v>847</v>
      </c>
      <c r="C622" s="3" t="s">
        <v>13</v>
      </c>
      <c r="D622" s="3" t="s">
        <v>1150</v>
      </c>
      <c r="E622" s="3" t="s">
        <v>1881</v>
      </c>
      <c r="F622" s="3" t="s">
        <v>112</v>
      </c>
      <c r="G622" s="3" t="s">
        <v>156</v>
      </c>
      <c r="H622" s="3" t="s">
        <v>21</v>
      </c>
      <c r="I622" s="3">
        <v>125</v>
      </c>
      <c r="J622" s="3" t="s">
        <v>243</v>
      </c>
      <c r="K622" s="3" t="s">
        <v>9</v>
      </c>
      <c r="L622" s="3" t="s">
        <v>66</v>
      </c>
      <c r="M622" s="4">
        <v>88900</v>
      </c>
      <c r="N622" s="5">
        <v>6.1</v>
      </c>
      <c r="O622" s="4">
        <f t="shared" si="18"/>
        <v>5422.9</v>
      </c>
      <c r="P622" s="4">
        <f t="shared" si="19"/>
        <v>83477.100000000006</v>
      </c>
      <c r="Q622" s="3" t="s">
        <v>36</v>
      </c>
      <c r="R622" s="3" t="s">
        <v>67</v>
      </c>
      <c r="S622" s="3" t="s">
        <v>68</v>
      </c>
      <c r="T622" s="3" t="s">
        <v>26</v>
      </c>
    </row>
    <row r="623" spans="1:20" ht="15" customHeight="1" x14ac:dyDescent="0.3">
      <c r="A623" s="3" t="s">
        <v>1882</v>
      </c>
      <c r="B623" s="3" t="s">
        <v>208</v>
      </c>
      <c r="C623" s="3" t="s">
        <v>2</v>
      </c>
      <c r="D623" s="3" t="s">
        <v>1883</v>
      </c>
      <c r="E623" s="3" t="s">
        <v>1884</v>
      </c>
      <c r="F623" s="3" t="s">
        <v>87</v>
      </c>
      <c r="G623" s="3" t="s">
        <v>316</v>
      </c>
      <c r="H623" s="3" t="s">
        <v>19</v>
      </c>
      <c r="I623" s="3">
        <v>150</v>
      </c>
      <c r="J623" s="3" t="s">
        <v>129</v>
      </c>
      <c r="K623" s="3" t="s">
        <v>5</v>
      </c>
      <c r="L623" s="3" t="s">
        <v>97</v>
      </c>
      <c r="M623" s="4">
        <v>109900</v>
      </c>
      <c r="N623" s="5">
        <v>11.2</v>
      </c>
      <c r="O623" s="4">
        <f t="shared" si="18"/>
        <v>12308.8</v>
      </c>
      <c r="P623" s="4">
        <f t="shared" si="19"/>
        <v>97591.2</v>
      </c>
      <c r="Q623" s="3" t="s">
        <v>31</v>
      </c>
      <c r="R623" s="3" t="s">
        <v>68</v>
      </c>
      <c r="S623" s="3" t="s">
        <v>68</v>
      </c>
      <c r="T623" s="3" t="s">
        <v>26</v>
      </c>
    </row>
    <row r="624" spans="1:20" ht="15" customHeight="1" x14ac:dyDescent="0.3">
      <c r="A624" s="3" t="s">
        <v>1885</v>
      </c>
      <c r="B624" s="3" t="s">
        <v>873</v>
      </c>
      <c r="C624" s="3" t="s">
        <v>6</v>
      </c>
      <c r="D624" s="3" t="s">
        <v>1604</v>
      </c>
      <c r="E624" s="3" t="s">
        <v>1886</v>
      </c>
      <c r="F624" s="3" t="s">
        <v>174</v>
      </c>
      <c r="G624" s="3" t="s">
        <v>146</v>
      </c>
      <c r="H624" s="3" t="s">
        <v>18</v>
      </c>
      <c r="I624" s="3">
        <v>110</v>
      </c>
      <c r="J624" s="3" t="s">
        <v>119</v>
      </c>
      <c r="K624" s="3" t="s">
        <v>1</v>
      </c>
      <c r="L624" s="3" t="s">
        <v>97</v>
      </c>
      <c r="M624" s="4">
        <v>74900</v>
      </c>
      <c r="N624" s="5">
        <v>7.3</v>
      </c>
      <c r="O624" s="4">
        <f t="shared" si="18"/>
        <v>5467.7</v>
      </c>
      <c r="P624" s="4">
        <f t="shared" si="19"/>
        <v>69432.3</v>
      </c>
      <c r="Q624" s="3" t="s">
        <v>25</v>
      </c>
      <c r="R624" s="3" t="s">
        <v>68</v>
      </c>
      <c r="S624" s="3" t="s">
        <v>67</v>
      </c>
      <c r="T624" s="3" t="s">
        <v>32</v>
      </c>
    </row>
    <row r="625" spans="1:20" ht="15" customHeight="1" x14ac:dyDescent="0.3">
      <c r="A625" s="3" t="s">
        <v>1887</v>
      </c>
      <c r="B625" s="3" t="s">
        <v>847</v>
      </c>
      <c r="C625" s="3" t="s">
        <v>13</v>
      </c>
      <c r="D625" s="3" t="s">
        <v>1493</v>
      </c>
      <c r="E625" s="3" t="s">
        <v>1888</v>
      </c>
      <c r="F625" s="3" t="s">
        <v>79</v>
      </c>
      <c r="G625" s="3" t="s">
        <v>73</v>
      </c>
      <c r="H625" s="3" t="s">
        <v>21</v>
      </c>
      <c r="I625" s="3">
        <v>110</v>
      </c>
      <c r="J625" s="3" t="s">
        <v>164</v>
      </c>
      <c r="K625" s="3" t="s">
        <v>11</v>
      </c>
      <c r="L625" s="3" t="s">
        <v>66</v>
      </c>
      <c r="M625" s="4">
        <v>79900</v>
      </c>
      <c r="N625" s="5">
        <v>7.7</v>
      </c>
      <c r="O625" s="4">
        <f t="shared" si="18"/>
        <v>6152.3</v>
      </c>
      <c r="P625" s="4">
        <f t="shared" si="19"/>
        <v>73747.7</v>
      </c>
      <c r="Q625" s="3" t="s">
        <v>31</v>
      </c>
      <c r="R625" s="3" t="s">
        <v>67</v>
      </c>
      <c r="S625" s="3" t="s">
        <v>68</v>
      </c>
      <c r="T625" s="3" t="s">
        <v>32</v>
      </c>
    </row>
    <row r="626" spans="1:20" ht="15" customHeight="1" x14ac:dyDescent="0.3">
      <c r="A626" s="3" t="s">
        <v>1889</v>
      </c>
      <c r="B626" s="3" t="s">
        <v>234</v>
      </c>
      <c r="C626" s="3" t="s">
        <v>14</v>
      </c>
      <c r="D626" s="3" t="s">
        <v>1890</v>
      </c>
      <c r="E626" s="3" t="s">
        <v>1891</v>
      </c>
      <c r="F626" s="3" t="s">
        <v>134</v>
      </c>
      <c r="G626" s="3" t="s">
        <v>316</v>
      </c>
      <c r="H626" s="3" t="s">
        <v>19</v>
      </c>
      <c r="I626" s="3">
        <v>150</v>
      </c>
      <c r="J626" s="3" t="s">
        <v>96</v>
      </c>
      <c r="K626" s="3" t="s">
        <v>1</v>
      </c>
      <c r="L626" s="3" t="s">
        <v>66</v>
      </c>
      <c r="M626" s="4">
        <v>109900</v>
      </c>
      <c r="N626" s="5">
        <v>13.8</v>
      </c>
      <c r="O626" s="4">
        <f t="shared" si="18"/>
        <v>15166.2</v>
      </c>
      <c r="P626" s="4">
        <f t="shared" si="19"/>
        <v>94733.8</v>
      </c>
      <c r="Q626" s="3" t="s">
        <v>25</v>
      </c>
      <c r="R626" s="3" t="s">
        <v>67</v>
      </c>
      <c r="S626" s="3" t="s">
        <v>67</v>
      </c>
      <c r="T626" s="3" t="s">
        <v>29</v>
      </c>
    </row>
    <row r="627" spans="1:20" ht="15" customHeight="1" x14ac:dyDescent="0.3">
      <c r="A627" s="3" t="s">
        <v>1892</v>
      </c>
      <c r="B627" s="3" t="s">
        <v>152</v>
      </c>
      <c r="C627" s="3" t="s">
        <v>6</v>
      </c>
      <c r="D627" s="3" t="s">
        <v>835</v>
      </c>
      <c r="E627" s="3" t="s">
        <v>1893</v>
      </c>
      <c r="F627" s="3" t="s">
        <v>134</v>
      </c>
      <c r="G627" s="3" t="s">
        <v>324</v>
      </c>
      <c r="H627" s="3" t="s">
        <v>19</v>
      </c>
      <c r="I627" s="3">
        <v>149</v>
      </c>
      <c r="J627" s="3" t="s">
        <v>179</v>
      </c>
      <c r="K627" s="3" t="s">
        <v>5</v>
      </c>
      <c r="L627" s="3" t="s">
        <v>82</v>
      </c>
      <c r="M627" s="4">
        <v>119900</v>
      </c>
      <c r="N627" s="5">
        <v>14.4</v>
      </c>
      <c r="O627" s="4">
        <f t="shared" si="18"/>
        <v>17265.599999999999</v>
      </c>
      <c r="P627" s="4">
        <f t="shared" si="19"/>
        <v>102634.4</v>
      </c>
      <c r="Q627" s="3" t="s">
        <v>40</v>
      </c>
      <c r="R627" s="3" t="s">
        <v>67</v>
      </c>
      <c r="S627" s="3" t="s">
        <v>67</v>
      </c>
      <c r="T627" s="3" t="s">
        <v>29</v>
      </c>
    </row>
    <row r="628" spans="1:20" ht="15" customHeight="1" x14ac:dyDescent="0.3">
      <c r="A628" s="3" t="s">
        <v>1894</v>
      </c>
      <c r="B628" s="3" t="s">
        <v>1486</v>
      </c>
      <c r="C628" s="3" t="s">
        <v>16</v>
      </c>
      <c r="D628" s="3" t="s">
        <v>1895</v>
      </c>
      <c r="E628" s="3" t="s">
        <v>1896</v>
      </c>
      <c r="F628" s="3" t="s">
        <v>87</v>
      </c>
      <c r="G628" s="3" t="s">
        <v>256</v>
      </c>
      <c r="H628" s="3" t="s">
        <v>21</v>
      </c>
      <c r="I628" s="3">
        <v>110</v>
      </c>
      <c r="J628" s="3" t="s">
        <v>243</v>
      </c>
      <c r="K628" s="3" t="s">
        <v>7</v>
      </c>
      <c r="L628" s="3" t="s">
        <v>136</v>
      </c>
      <c r="M628" s="4">
        <v>80900</v>
      </c>
      <c r="N628" s="5">
        <v>3.6</v>
      </c>
      <c r="O628" s="4">
        <f t="shared" si="18"/>
        <v>2912.4</v>
      </c>
      <c r="P628" s="4">
        <f t="shared" si="19"/>
        <v>77987.600000000006</v>
      </c>
      <c r="Q628" s="3" t="s">
        <v>25</v>
      </c>
      <c r="R628" s="3" t="s">
        <v>67</v>
      </c>
      <c r="S628" s="3" t="s">
        <v>68</v>
      </c>
      <c r="T628" s="3" t="s">
        <v>26</v>
      </c>
    </row>
    <row r="629" spans="1:20" ht="15" customHeight="1" x14ac:dyDescent="0.3">
      <c r="A629" s="3" t="s">
        <v>1897</v>
      </c>
      <c r="B629" s="3" t="s">
        <v>421</v>
      </c>
      <c r="C629" s="3" t="s">
        <v>15</v>
      </c>
      <c r="D629" s="3" t="s">
        <v>1898</v>
      </c>
      <c r="E629" s="3" t="s">
        <v>1899</v>
      </c>
      <c r="F629" s="3" t="s">
        <v>134</v>
      </c>
      <c r="G629" s="3" t="s">
        <v>256</v>
      </c>
      <c r="H629" s="3" t="s">
        <v>21</v>
      </c>
      <c r="I629" s="3">
        <v>110</v>
      </c>
      <c r="J629" s="3" t="s">
        <v>96</v>
      </c>
      <c r="K629" s="3" t="s">
        <v>9</v>
      </c>
      <c r="L629" s="3" t="s">
        <v>90</v>
      </c>
      <c r="M629" s="4">
        <v>80900</v>
      </c>
      <c r="N629" s="5">
        <v>12.8</v>
      </c>
      <c r="O629" s="4">
        <f t="shared" si="18"/>
        <v>10355.200000000001</v>
      </c>
      <c r="P629" s="4">
        <f t="shared" si="19"/>
        <v>70544.800000000003</v>
      </c>
      <c r="Q629" s="3" t="s">
        <v>38</v>
      </c>
      <c r="R629" s="3" t="s">
        <v>67</v>
      </c>
      <c r="S629" s="3" t="s">
        <v>67</v>
      </c>
      <c r="T629" s="3" t="s">
        <v>32</v>
      </c>
    </row>
    <row r="630" spans="1:20" ht="15" customHeight="1" x14ac:dyDescent="0.3">
      <c r="A630" s="3" t="s">
        <v>1900</v>
      </c>
      <c r="B630" s="3" t="s">
        <v>121</v>
      </c>
      <c r="C630" s="3" t="s">
        <v>13</v>
      </c>
      <c r="D630" s="3" t="s">
        <v>1461</v>
      </c>
      <c r="E630" s="3" t="s">
        <v>1901</v>
      </c>
      <c r="F630" s="3" t="s">
        <v>63</v>
      </c>
      <c r="G630" s="3" t="s">
        <v>118</v>
      </c>
      <c r="H630" s="3" t="s">
        <v>20</v>
      </c>
      <c r="I630" s="3">
        <v>350</v>
      </c>
      <c r="J630" s="3" t="s">
        <v>89</v>
      </c>
      <c r="K630" s="3" t="s">
        <v>1</v>
      </c>
      <c r="L630" s="3" t="s">
        <v>136</v>
      </c>
      <c r="M630" s="4">
        <v>159900</v>
      </c>
      <c r="N630" s="5">
        <v>7.9</v>
      </c>
      <c r="O630" s="4">
        <f t="shared" si="18"/>
        <v>12632.1</v>
      </c>
      <c r="P630" s="4">
        <f t="shared" si="19"/>
        <v>147267.9</v>
      </c>
      <c r="Q630" s="3" t="s">
        <v>38</v>
      </c>
      <c r="R630" s="3" t="s">
        <v>67</v>
      </c>
      <c r="S630" s="3" t="s">
        <v>67</v>
      </c>
      <c r="T630" s="3" t="s">
        <v>26</v>
      </c>
    </row>
    <row r="631" spans="1:20" ht="15" customHeight="1" x14ac:dyDescent="0.3">
      <c r="A631" s="3" t="s">
        <v>1902</v>
      </c>
      <c r="B631" s="3" t="s">
        <v>245</v>
      </c>
      <c r="C631" s="3" t="s">
        <v>14</v>
      </c>
      <c r="D631" s="3" t="s">
        <v>604</v>
      </c>
      <c r="E631" s="3" t="s">
        <v>1903</v>
      </c>
      <c r="F631" s="3" t="s">
        <v>87</v>
      </c>
      <c r="G631" s="3" t="s">
        <v>201</v>
      </c>
      <c r="H631" s="3" t="s">
        <v>19</v>
      </c>
      <c r="I631" s="3">
        <v>160</v>
      </c>
      <c r="J631" s="3" t="s">
        <v>89</v>
      </c>
      <c r="K631" s="3" t="s">
        <v>5</v>
      </c>
      <c r="L631" s="3" t="s">
        <v>74</v>
      </c>
      <c r="M631" s="4">
        <v>129900</v>
      </c>
      <c r="N631" s="5">
        <v>12.6</v>
      </c>
      <c r="O631" s="4">
        <f t="shared" si="18"/>
        <v>16367.4</v>
      </c>
      <c r="P631" s="4">
        <f t="shared" si="19"/>
        <v>113532.6</v>
      </c>
      <c r="Q631" s="3" t="s">
        <v>28</v>
      </c>
      <c r="R631" s="3" t="s">
        <v>67</v>
      </c>
      <c r="S631" s="3" t="s">
        <v>68</v>
      </c>
      <c r="T631" s="3" t="s">
        <v>32</v>
      </c>
    </row>
    <row r="632" spans="1:20" ht="15" customHeight="1" x14ac:dyDescent="0.3">
      <c r="A632" s="3" t="s">
        <v>1904</v>
      </c>
      <c r="B632" s="3" t="s">
        <v>809</v>
      </c>
      <c r="C632" s="3" t="s">
        <v>17</v>
      </c>
      <c r="D632" s="3" t="s">
        <v>597</v>
      </c>
      <c r="E632" s="3" t="s">
        <v>1905</v>
      </c>
      <c r="F632" s="3" t="s">
        <v>155</v>
      </c>
      <c r="G632" s="3" t="s">
        <v>64</v>
      </c>
      <c r="H632" s="3" t="s">
        <v>19</v>
      </c>
      <c r="I632" s="3">
        <v>200</v>
      </c>
      <c r="J632" s="3" t="s">
        <v>102</v>
      </c>
      <c r="K632" s="3" t="s">
        <v>3</v>
      </c>
      <c r="L632" s="3" t="s">
        <v>206</v>
      </c>
      <c r="M632" s="4">
        <v>199900</v>
      </c>
      <c r="N632" s="5">
        <v>14</v>
      </c>
      <c r="O632" s="4">
        <f t="shared" si="18"/>
        <v>27986</v>
      </c>
      <c r="P632" s="4">
        <f t="shared" si="19"/>
        <v>171914</v>
      </c>
      <c r="Q632" s="3" t="s">
        <v>36</v>
      </c>
      <c r="R632" s="3" t="s">
        <v>67</v>
      </c>
      <c r="S632" s="3" t="s">
        <v>68</v>
      </c>
      <c r="T632" s="3" t="s">
        <v>32</v>
      </c>
    </row>
    <row r="633" spans="1:20" ht="15" customHeight="1" x14ac:dyDescent="0.3">
      <c r="A633" s="3" t="s">
        <v>1906</v>
      </c>
      <c r="B633" s="3" t="s">
        <v>208</v>
      </c>
      <c r="C633" s="3" t="s">
        <v>2</v>
      </c>
      <c r="D633" s="3" t="s">
        <v>1883</v>
      </c>
      <c r="E633" s="3" t="s">
        <v>1907</v>
      </c>
      <c r="F633" s="3" t="s">
        <v>174</v>
      </c>
      <c r="G633" s="3" t="s">
        <v>73</v>
      </c>
      <c r="H633" s="3" t="s">
        <v>21</v>
      </c>
      <c r="I633" s="3">
        <v>110</v>
      </c>
      <c r="J633" s="3" t="s">
        <v>96</v>
      </c>
      <c r="K633" s="3" t="s">
        <v>9</v>
      </c>
      <c r="L633" s="3" t="s">
        <v>103</v>
      </c>
      <c r="M633" s="4">
        <v>79900</v>
      </c>
      <c r="N633" s="5">
        <v>11.6</v>
      </c>
      <c r="O633" s="4">
        <f t="shared" si="18"/>
        <v>9268.4</v>
      </c>
      <c r="P633" s="4">
        <f t="shared" si="19"/>
        <v>70631.600000000006</v>
      </c>
      <c r="Q633" s="3" t="s">
        <v>31</v>
      </c>
      <c r="R633" s="3" t="s">
        <v>67</v>
      </c>
      <c r="S633" s="3" t="s">
        <v>68</v>
      </c>
      <c r="T633" s="3" t="s">
        <v>26</v>
      </c>
    </row>
    <row r="634" spans="1:20" ht="15" customHeight="1" x14ac:dyDescent="0.3">
      <c r="A634" s="3" t="s">
        <v>1908</v>
      </c>
      <c r="B634" s="3" t="s">
        <v>109</v>
      </c>
      <c r="C634" s="3" t="s">
        <v>2</v>
      </c>
      <c r="D634" s="3" t="s">
        <v>516</v>
      </c>
      <c r="E634" s="3" t="s">
        <v>1909</v>
      </c>
      <c r="F634" s="3" t="s">
        <v>112</v>
      </c>
      <c r="G634" s="3" t="s">
        <v>95</v>
      </c>
      <c r="H634" s="3" t="s">
        <v>22</v>
      </c>
      <c r="I634" s="3">
        <v>0</v>
      </c>
      <c r="J634" s="3" t="s">
        <v>119</v>
      </c>
      <c r="K634" s="3" t="s">
        <v>3</v>
      </c>
      <c r="L634" s="3" t="s">
        <v>66</v>
      </c>
      <c r="M634" s="4">
        <v>139999</v>
      </c>
      <c r="N634" s="5">
        <v>13</v>
      </c>
      <c r="O634" s="4">
        <f t="shared" si="18"/>
        <v>18199.87</v>
      </c>
      <c r="P634" s="4">
        <f t="shared" si="19"/>
        <v>121799.13</v>
      </c>
      <c r="Q634" s="3" t="s">
        <v>38</v>
      </c>
      <c r="R634" s="3" t="s">
        <v>67</v>
      </c>
      <c r="S634" s="3" t="s">
        <v>68</v>
      </c>
      <c r="T634" s="3" t="s">
        <v>26</v>
      </c>
    </row>
    <row r="635" spans="1:20" ht="15" customHeight="1" x14ac:dyDescent="0.3">
      <c r="A635" s="3" t="s">
        <v>1910</v>
      </c>
      <c r="B635" s="3" t="s">
        <v>448</v>
      </c>
      <c r="C635" s="3" t="s">
        <v>17</v>
      </c>
      <c r="D635" s="3" t="s">
        <v>1190</v>
      </c>
      <c r="E635" s="3" t="s">
        <v>1911</v>
      </c>
      <c r="F635" s="3" t="s">
        <v>124</v>
      </c>
      <c r="G635" s="3" t="s">
        <v>88</v>
      </c>
      <c r="H635" s="3" t="s">
        <v>18</v>
      </c>
      <c r="I635" s="3">
        <v>125</v>
      </c>
      <c r="J635" s="3" t="s">
        <v>96</v>
      </c>
      <c r="K635" s="3" t="s">
        <v>11</v>
      </c>
      <c r="L635" s="3" t="s">
        <v>97</v>
      </c>
      <c r="M635" s="4">
        <v>94900</v>
      </c>
      <c r="N635" s="5">
        <v>13.2</v>
      </c>
      <c r="O635" s="4">
        <f t="shared" si="18"/>
        <v>12526.8</v>
      </c>
      <c r="P635" s="4">
        <f t="shared" si="19"/>
        <v>82373.2</v>
      </c>
      <c r="Q635" s="3" t="s">
        <v>38</v>
      </c>
      <c r="R635" s="3" t="s">
        <v>67</v>
      </c>
      <c r="S635" s="3" t="s">
        <v>68</v>
      </c>
      <c r="T635" s="3" t="s">
        <v>26</v>
      </c>
    </row>
    <row r="636" spans="1:20" ht="15" customHeight="1" x14ac:dyDescent="0.3">
      <c r="A636" s="3" t="s">
        <v>1912</v>
      </c>
      <c r="B636" s="3" t="s">
        <v>402</v>
      </c>
      <c r="C636" s="3" t="s">
        <v>2</v>
      </c>
      <c r="D636" s="3" t="s">
        <v>1913</v>
      </c>
      <c r="E636" s="3" t="s">
        <v>1914</v>
      </c>
      <c r="F636" s="3" t="s">
        <v>174</v>
      </c>
      <c r="G636" s="3" t="s">
        <v>64</v>
      </c>
      <c r="H636" s="3" t="s">
        <v>19</v>
      </c>
      <c r="I636" s="3">
        <v>200</v>
      </c>
      <c r="J636" s="3" t="s">
        <v>81</v>
      </c>
      <c r="K636" s="3" t="s">
        <v>5</v>
      </c>
      <c r="L636" s="3" t="s">
        <v>136</v>
      </c>
      <c r="M636" s="4">
        <v>199900</v>
      </c>
      <c r="N636" s="5">
        <v>5.5</v>
      </c>
      <c r="O636" s="4">
        <f t="shared" si="18"/>
        <v>10994.5</v>
      </c>
      <c r="P636" s="4">
        <f t="shared" si="19"/>
        <v>188905.5</v>
      </c>
      <c r="Q636" s="3" t="s">
        <v>36</v>
      </c>
      <c r="R636" s="3" t="s">
        <v>67</v>
      </c>
      <c r="S636" s="3" t="s">
        <v>68</v>
      </c>
      <c r="T636" s="3" t="s">
        <v>26</v>
      </c>
    </row>
    <row r="637" spans="1:20" ht="15" customHeight="1" x14ac:dyDescent="0.3">
      <c r="A637" s="3" t="s">
        <v>1915</v>
      </c>
      <c r="B637" s="3" t="s">
        <v>1010</v>
      </c>
      <c r="C637" s="3" t="s">
        <v>6</v>
      </c>
      <c r="D637" s="3" t="s">
        <v>915</v>
      </c>
      <c r="E637" s="3" t="s">
        <v>1916</v>
      </c>
      <c r="F637" s="3" t="s">
        <v>155</v>
      </c>
      <c r="G637" s="3" t="s">
        <v>211</v>
      </c>
      <c r="H637" s="3" t="s">
        <v>20</v>
      </c>
      <c r="I637" s="3">
        <v>350</v>
      </c>
      <c r="J637" s="3" t="s">
        <v>119</v>
      </c>
      <c r="K637" s="3" t="s">
        <v>5</v>
      </c>
      <c r="L637" s="3" t="s">
        <v>206</v>
      </c>
      <c r="M637" s="4">
        <v>199900</v>
      </c>
      <c r="N637" s="5">
        <v>10.4</v>
      </c>
      <c r="O637" s="4">
        <f t="shared" si="18"/>
        <v>20789.599999999999</v>
      </c>
      <c r="P637" s="4">
        <f t="shared" si="19"/>
        <v>179110.39999999999</v>
      </c>
      <c r="Q637" s="3" t="s">
        <v>34</v>
      </c>
      <c r="R637" s="3" t="s">
        <v>67</v>
      </c>
      <c r="S637" s="3" t="s">
        <v>68</v>
      </c>
      <c r="T637" s="3" t="s">
        <v>26</v>
      </c>
    </row>
    <row r="638" spans="1:20" ht="15" customHeight="1" x14ac:dyDescent="0.3">
      <c r="A638" s="3" t="s">
        <v>1917</v>
      </c>
      <c r="B638" s="3" t="s">
        <v>421</v>
      </c>
      <c r="C638" s="3" t="s">
        <v>15</v>
      </c>
      <c r="D638" s="3" t="s">
        <v>1918</v>
      </c>
      <c r="E638" s="3" t="s">
        <v>1919</v>
      </c>
      <c r="F638" s="3" t="s">
        <v>63</v>
      </c>
      <c r="G638" s="3" t="s">
        <v>156</v>
      </c>
      <c r="H638" s="3" t="s">
        <v>21</v>
      </c>
      <c r="I638" s="3">
        <v>125</v>
      </c>
      <c r="J638" s="3" t="s">
        <v>89</v>
      </c>
      <c r="K638" s="3" t="s">
        <v>9</v>
      </c>
      <c r="L638" s="3" t="s">
        <v>206</v>
      </c>
      <c r="M638" s="4">
        <v>88900</v>
      </c>
      <c r="N638" s="5">
        <v>12.9</v>
      </c>
      <c r="O638" s="4">
        <f t="shared" si="18"/>
        <v>11468.1</v>
      </c>
      <c r="P638" s="4">
        <f t="shared" si="19"/>
        <v>77431.899999999994</v>
      </c>
      <c r="Q638" s="3" t="s">
        <v>28</v>
      </c>
      <c r="R638" s="3" t="s">
        <v>67</v>
      </c>
      <c r="S638" s="3" t="s">
        <v>68</v>
      </c>
      <c r="T638" s="3" t="s">
        <v>26</v>
      </c>
    </row>
    <row r="639" spans="1:20" ht="15" customHeight="1" x14ac:dyDescent="0.3">
      <c r="A639" s="3" t="s">
        <v>1920</v>
      </c>
      <c r="B639" s="3" t="s">
        <v>639</v>
      </c>
      <c r="C639" s="3" t="s">
        <v>16</v>
      </c>
      <c r="D639" s="3" t="s">
        <v>905</v>
      </c>
      <c r="E639" s="3" t="s">
        <v>1921</v>
      </c>
      <c r="F639" s="3" t="s">
        <v>112</v>
      </c>
      <c r="G639" s="3" t="s">
        <v>169</v>
      </c>
      <c r="H639" s="3" t="s">
        <v>18</v>
      </c>
      <c r="I639" s="3">
        <v>162</v>
      </c>
      <c r="J639" s="3" t="s">
        <v>81</v>
      </c>
      <c r="K639" s="3" t="s">
        <v>11</v>
      </c>
      <c r="L639" s="3" t="s">
        <v>66</v>
      </c>
      <c r="M639" s="4">
        <v>124900</v>
      </c>
      <c r="N639" s="5">
        <v>7.5</v>
      </c>
      <c r="O639" s="4">
        <f t="shared" si="18"/>
        <v>9367.5</v>
      </c>
      <c r="P639" s="4">
        <f t="shared" si="19"/>
        <v>115532.5</v>
      </c>
      <c r="Q639" s="3" t="s">
        <v>28</v>
      </c>
      <c r="R639" s="3" t="s">
        <v>67</v>
      </c>
      <c r="S639" s="3" t="s">
        <v>68</v>
      </c>
      <c r="T639" s="3" t="s">
        <v>26</v>
      </c>
    </row>
    <row r="640" spans="1:20" ht="15" customHeight="1" x14ac:dyDescent="0.3">
      <c r="A640" s="3" t="s">
        <v>1922</v>
      </c>
      <c r="B640" s="3" t="s">
        <v>482</v>
      </c>
      <c r="C640" s="3" t="s">
        <v>6</v>
      </c>
      <c r="D640" s="3" t="s">
        <v>980</v>
      </c>
      <c r="E640" s="3" t="s">
        <v>1923</v>
      </c>
      <c r="F640" s="3" t="s">
        <v>87</v>
      </c>
      <c r="G640" s="3" t="s">
        <v>64</v>
      </c>
      <c r="H640" s="3" t="s">
        <v>19</v>
      </c>
      <c r="I640" s="3">
        <v>200</v>
      </c>
      <c r="J640" s="3" t="s">
        <v>164</v>
      </c>
      <c r="K640" s="3" t="s">
        <v>9</v>
      </c>
      <c r="L640" s="3" t="s">
        <v>90</v>
      </c>
      <c r="M640" s="4">
        <v>199900</v>
      </c>
      <c r="N640" s="5">
        <v>6.8</v>
      </c>
      <c r="O640" s="4">
        <f t="shared" si="18"/>
        <v>13593.2</v>
      </c>
      <c r="P640" s="4">
        <f t="shared" si="19"/>
        <v>186306.8</v>
      </c>
      <c r="Q640" s="3" t="s">
        <v>25</v>
      </c>
      <c r="R640" s="3" t="s">
        <v>67</v>
      </c>
      <c r="S640" s="3" t="s">
        <v>67</v>
      </c>
      <c r="T640" s="3" t="s">
        <v>32</v>
      </c>
    </row>
    <row r="641" spans="1:20" ht="15" customHeight="1" x14ac:dyDescent="0.3">
      <c r="A641" s="3" t="s">
        <v>1924</v>
      </c>
      <c r="B641" s="3" t="s">
        <v>528</v>
      </c>
      <c r="C641" s="3" t="s">
        <v>12</v>
      </c>
      <c r="D641" s="3" t="s">
        <v>544</v>
      </c>
      <c r="E641" s="3" t="s">
        <v>1925</v>
      </c>
      <c r="F641" s="3" t="s">
        <v>117</v>
      </c>
      <c r="G641" s="3" t="s">
        <v>184</v>
      </c>
      <c r="H641" s="3" t="s">
        <v>18</v>
      </c>
      <c r="I641" s="3">
        <v>125</v>
      </c>
      <c r="J641" s="3" t="s">
        <v>243</v>
      </c>
      <c r="K641" s="3" t="s">
        <v>3</v>
      </c>
      <c r="L641" s="3" t="s">
        <v>74</v>
      </c>
      <c r="M641" s="4">
        <v>79900</v>
      </c>
      <c r="N641" s="5">
        <v>14.2</v>
      </c>
      <c r="O641" s="4">
        <f t="shared" si="18"/>
        <v>11345.8</v>
      </c>
      <c r="P641" s="4">
        <f t="shared" si="19"/>
        <v>68554.2</v>
      </c>
      <c r="Q641" s="3" t="s">
        <v>28</v>
      </c>
      <c r="R641" s="3" t="s">
        <v>68</v>
      </c>
      <c r="S641" s="3" t="s">
        <v>67</v>
      </c>
      <c r="T641" s="3" t="s">
        <v>26</v>
      </c>
    </row>
    <row r="642" spans="1:20" ht="15" customHeight="1" x14ac:dyDescent="0.3">
      <c r="A642" s="3" t="s">
        <v>1926</v>
      </c>
      <c r="B642" s="3" t="s">
        <v>395</v>
      </c>
      <c r="C642" s="3" t="s">
        <v>14</v>
      </c>
      <c r="D642" s="3" t="s">
        <v>1927</v>
      </c>
      <c r="E642" s="3" t="s">
        <v>1928</v>
      </c>
      <c r="F642" s="3" t="s">
        <v>155</v>
      </c>
      <c r="G642" s="3" t="s">
        <v>118</v>
      </c>
      <c r="H642" s="3" t="s">
        <v>20</v>
      </c>
      <c r="I642" s="3">
        <v>350</v>
      </c>
      <c r="J642" s="3" t="s">
        <v>129</v>
      </c>
      <c r="K642" s="3" t="s">
        <v>3</v>
      </c>
      <c r="L642" s="3" t="s">
        <v>66</v>
      </c>
      <c r="M642" s="4">
        <v>159900</v>
      </c>
      <c r="N642" s="5">
        <v>10.8</v>
      </c>
      <c r="O642" s="4">
        <f t="shared" ref="O642:O705" si="20">M642*N642/100</f>
        <v>17269.2</v>
      </c>
      <c r="P642" s="4">
        <f t="shared" ref="P642:P705" si="21">M642-O642</f>
        <v>142630.79999999999</v>
      </c>
      <c r="Q642" s="3" t="s">
        <v>34</v>
      </c>
      <c r="R642" s="3" t="s">
        <v>68</v>
      </c>
      <c r="S642" s="3" t="s">
        <v>67</v>
      </c>
      <c r="T642" s="3" t="s">
        <v>26</v>
      </c>
    </row>
    <row r="643" spans="1:20" ht="15" customHeight="1" x14ac:dyDescent="0.3">
      <c r="A643" s="3" t="s">
        <v>1929</v>
      </c>
      <c r="B643" s="3" t="s">
        <v>245</v>
      </c>
      <c r="C643" s="3" t="s">
        <v>14</v>
      </c>
      <c r="D643" s="3" t="s">
        <v>1930</v>
      </c>
      <c r="E643" s="3" t="s">
        <v>1931</v>
      </c>
      <c r="F643" s="3" t="s">
        <v>155</v>
      </c>
      <c r="G643" s="3" t="s">
        <v>256</v>
      </c>
      <c r="H643" s="3" t="s">
        <v>21</v>
      </c>
      <c r="I643" s="3">
        <v>110</v>
      </c>
      <c r="J643" s="3" t="s">
        <v>96</v>
      </c>
      <c r="K643" s="3" t="s">
        <v>1</v>
      </c>
      <c r="L643" s="3" t="s">
        <v>66</v>
      </c>
      <c r="M643" s="4">
        <v>80900</v>
      </c>
      <c r="N643" s="5">
        <v>4.5</v>
      </c>
      <c r="O643" s="4">
        <f t="shared" si="20"/>
        <v>3640.5</v>
      </c>
      <c r="P643" s="4">
        <f t="shared" si="21"/>
        <v>77259.5</v>
      </c>
      <c r="Q643" s="3" t="s">
        <v>34</v>
      </c>
      <c r="R643" s="3" t="s">
        <v>68</v>
      </c>
      <c r="S643" s="3" t="s">
        <v>67</v>
      </c>
      <c r="T643" s="3" t="s">
        <v>32</v>
      </c>
    </row>
    <row r="644" spans="1:20" ht="15" customHeight="1" x14ac:dyDescent="0.3">
      <c r="A644" s="3" t="s">
        <v>1932</v>
      </c>
      <c r="B644" s="3" t="s">
        <v>873</v>
      </c>
      <c r="C644" s="3" t="s">
        <v>6</v>
      </c>
      <c r="D644" s="3" t="s">
        <v>915</v>
      </c>
      <c r="E644" s="3" t="s">
        <v>1933</v>
      </c>
      <c r="F644" s="3" t="s">
        <v>79</v>
      </c>
      <c r="G644" s="3" t="s">
        <v>316</v>
      </c>
      <c r="H644" s="3" t="s">
        <v>19</v>
      </c>
      <c r="I644" s="3">
        <v>150</v>
      </c>
      <c r="J644" s="3" t="s">
        <v>89</v>
      </c>
      <c r="K644" s="3" t="s">
        <v>9</v>
      </c>
      <c r="L644" s="3" t="s">
        <v>206</v>
      </c>
      <c r="M644" s="4">
        <v>109900</v>
      </c>
      <c r="N644" s="5">
        <v>8.6</v>
      </c>
      <c r="O644" s="4">
        <f t="shared" si="20"/>
        <v>9451.4</v>
      </c>
      <c r="P644" s="4">
        <f t="shared" si="21"/>
        <v>100448.6</v>
      </c>
      <c r="Q644" s="3" t="s">
        <v>36</v>
      </c>
      <c r="R644" s="3" t="s">
        <v>68</v>
      </c>
      <c r="S644" s="3" t="s">
        <v>68</v>
      </c>
      <c r="T644" s="3" t="s">
        <v>26</v>
      </c>
    </row>
    <row r="645" spans="1:20" ht="15" customHeight="1" x14ac:dyDescent="0.3">
      <c r="A645" s="3" t="s">
        <v>1934</v>
      </c>
      <c r="B645" s="3" t="s">
        <v>414</v>
      </c>
      <c r="C645" s="3" t="s">
        <v>15</v>
      </c>
      <c r="D645" s="3" t="s">
        <v>687</v>
      </c>
      <c r="E645" s="3" t="s">
        <v>1935</v>
      </c>
      <c r="F645" s="3" t="s">
        <v>155</v>
      </c>
      <c r="G645" s="3" t="s">
        <v>135</v>
      </c>
      <c r="H645" s="3" t="s">
        <v>19</v>
      </c>
      <c r="I645" s="3">
        <v>160</v>
      </c>
      <c r="J645" s="3" t="s">
        <v>179</v>
      </c>
      <c r="K645" s="3" t="s">
        <v>5</v>
      </c>
      <c r="L645" s="3" t="s">
        <v>136</v>
      </c>
      <c r="M645" s="4">
        <v>124900</v>
      </c>
      <c r="N645" s="5">
        <v>11.1</v>
      </c>
      <c r="O645" s="4">
        <f t="shared" si="20"/>
        <v>13863.9</v>
      </c>
      <c r="P645" s="4">
        <f t="shared" si="21"/>
        <v>111036.1</v>
      </c>
      <c r="Q645" s="3" t="s">
        <v>40</v>
      </c>
      <c r="R645" s="3" t="s">
        <v>67</v>
      </c>
      <c r="S645" s="3" t="s">
        <v>68</v>
      </c>
      <c r="T645" s="3" t="s">
        <v>26</v>
      </c>
    </row>
    <row r="646" spans="1:20" ht="15" customHeight="1" x14ac:dyDescent="0.3">
      <c r="A646" s="3" t="s">
        <v>1936</v>
      </c>
      <c r="B646" s="3" t="s">
        <v>528</v>
      </c>
      <c r="C646" s="3" t="s">
        <v>12</v>
      </c>
      <c r="D646" s="3" t="s">
        <v>258</v>
      </c>
      <c r="E646" s="3" t="s">
        <v>1937</v>
      </c>
      <c r="F646" s="3" t="s">
        <v>145</v>
      </c>
      <c r="G646" s="3" t="s">
        <v>222</v>
      </c>
      <c r="H646" s="3" t="s">
        <v>19</v>
      </c>
      <c r="I646" s="3">
        <v>155</v>
      </c>
      <c r="J646" s="3" t="s">
        <v>65</v>
      </c>
      <c r="K646" s="3" t="s">
        <v>1</v>
      </c>
      <c r="L646" s="3" t="s">
        <v>82</v>
      </c>
      <c r="M646" s="4">
        <v>167900</v>
      </c>
      <c r="N646" s="5">
        <v>4.0999999999999996</v>
      </c>
      <c r="O646" s="4">
        <f t="shared" si="20"/>
        <v>6883.8999999999987</v>
      </c>
      <c r="P646" s="4">
        <f t="shared" si="21"/>
        <v>161016.1</v>
      </c>
      <c r="Q646" s="3" t="s">
        <v>31</v>
      </c>
      <c r="R646" s="3" t="s">
        <v>67</v>
      </c>
      <c r="S646" s="3" t="s">
        <v>68</v>
      </c>
      <c r="T646" s="3" t="s">
        <v>26</v>
      </c>
    </row>
    <row r="647" spans="1:20" ht="15" customHeight="1" x14ac:dyDescent="0.3">
      <c r="A647" s="3" t="s">
        <v>1938</v>
      </c>
      <c r="B647" s="3" t="s">
        <v>176</v>
      </c>
      <c r="C647" s="3" t="s">
        <v>16</v>
      </c>
      <c r="D647" s="3" t="s">
        <v>1939</v>
      </c>
      <c r="E647" s="3" t="s">
        <v>1940</v>
      </c>
      <c r="F647" s="3" t="s">
        <v>134</v>
      </c>
      <c r="G647" s="3" t="s">
        <v>135</v>
      </c>
      <c r="H647" s="3" t="s">
        <v>19</v>
      </c>
      <c r="I647" s="3">
        <v>160</v>
      </c>
      <c r="J647" s="3" t="s">
        <v>81</v>
      </c>
      <c r="K647" s="3" t="s">
        <v>7</v>
      </c>
      <c r="L647" s="3" t="s">
        <v>90</v>
      </c>
      <c r="M647" s="4">
        <v>124900</v>
      </c>
      <c r="N647" s="5">
        <v>5.2</v>
      </c>
      <c r="O647" s="4">
        <f t="shared" si="20"/>
        <v>6494.8</v>
      </c>
      <c r="P647" s="4">
        <f t="shared" si="21"/>
        <v>118405.2</v>
      </c>
      <c r="Q647" s="3" t="s">
        <v>25</v>
      </c>
      <c r="R647" s="3" t="s">
        <v>67</v>
      </c>
      <c r="S647" s="3" t="s">
        <v>67</v>
      </c>
      <c r="T647" s="3" t="s">
        <v>26</v>
      </c>
    </row>
    <row r="648" spans="1:20" ht="15" customHeight="1" x14ac:dyDescent="0.3">
      <c r="A648" s="3" t="s">
        <v>1941</v>
      </c>
      <c r="B648" s="3" t="s">
        <v>253</v>
      </c>
      <c r="C648" s="3" t="s">
        <v>17</v>
      </c>
      <c r="D648" s="3" t="s">
        <v>1863</v>
      </c>
      <c r="E648" s="3" t="s">
        <v>1942</v>
      </c>
      <c r="F648" s="3" t="s">
        <v>117</v>
      </c>
      <c r="G648" s="3" t="s">
        <v>135</v>
      </c>
      <c r="H648" s="3" t="s">
        <v>19</v>
      </c>
      <c r="I648" s="3">
        <v>160</v>
      </c>
      <c r="J648" s="3" t="s">
        <v>65</v>
      </c>
      <c r="K648" s="3" t="s">
        <v>1</v>
      </c>
      <c r="L648" s="3" t="s">
        <v>82</v>
      </c>
      <c r="M648" s="4">
        <v>124900</v>
      </c>
      <c r="N648" s="5">
        <v>7.4</v>
      </c>
      <c r="O648" s="4">
        <f t="shared" si="20"/>
        <v>9242.6</v>
      </c>
      <c r="P648" s="4">
        <f t="shared" si="21"/>
        <v>115657.4</v>
      </c>
      <c r="Q648" s="3" t="s">
        <v>28</v>
      </c>
      <c r="R648" s="3" t="s">
        <v>67</v>
      </c>
      <c r="S648" s="3" t="s">
        <v>68</v>
      </c>
      <c r="T648" s="3" t="s">
        <v>29</v>
      </c>
    </row>
    <row r="649" spans="1:20" ht="15" customHeight="1" x14ac:dyDescent="0.3">
      <c r="A649" s="3" t="s">
        <v>1943</v>
      </c>
      <c r="B649" s="3" t="s">
        <v>121</v>
      </c>
      <c r="C649" s="3" t="s">
        <v>13</v>
      </c>
      <c r="D649" s="3" t="s">
        <v>1235</v>
      </c>
      <c r="E649" s="3" t="s">
        <v>1944</v>
      </c>
      <c r="F649" s="3" t="s">
        <v>145</v>
      </c>
      <c r="G649" s="3" t="s">
        <v>222</v>
      </c>
      <c r="H649" s="3" t="s">
        <v>19</v>
      </c>
      <c r="I649" s="3">
        <v>155</v>
      </c>
      <c r="J649" s="3" t="s">
        <v>89</v>
      </c>
      <c r="K649" s="3" t="s">
        <v>5</v>
      </c>
      <c r="L649" s="3" t="s">
        <v>90</v>
      </c>
      <c r="M649" s="4">
        <v>167900</v>
      </c>
      <c r="N649" s="5">
        <v>7.7</v>
      </c>
      <c r="O649" s="4">
        <f t="shared" si="20"/>
        <v>12928.3</v>
      </c>
      <c r="P649" s="4">
        <f t="shared" si="21"/>
        <v>154971.70000000001</v>
      </c>
      <c r="Q649" s="3" t="s">
        <v>34</v>
      </c>
      <c r="R649" s="3" t="s">
        <v>67</v>
      </c>
      <c r="S649" s="3" t="s">
        <v>68</v>
      </c>
      <c r="T649" s="3" t="s">
        <v>26</v>
      </c>
    </row>
    <row r="650" spans="1:20" ht="15" customHeight="1" x14ac:dyDescent="0.3">
      <c r="A650" s="3" t="s">
        <v>1945</v>
      </c>
      <c r="B650" s="3" t="s">
        <v>573</v>
      </c>
      <c r="C650" s="3" t="s">
        <v>12</v>
      </c>
      <c r="D650" s="3" t="s">
        <v>1946</v>
      </c>
      <c r="E650" s="3" t="s">
        <v>1947</v>
      </c>
      <c r="F650" s="3" t="s">
        <v>145</v>
      </c>
      <c r="G650" s="3" t="s">
        <v>64</v>
      </c>
      <c r="H650" s="3" t="s">
        <v>19</v>
      </c>
      <c r="I650" s="3">
        <v>200</v>
      </c>
      <c r="J650" s="3" t="s">
        <v>243</v>
      </c>
      <c r="K650" s="3" t="s">
        <v>9</v>
      </c>
      <c r="L650" s="3" t="s">
        <v>206</v>
      </c>
      <c r="M650" s="4">
        <v>199900</v>
      </c>
      <c r="N650" s="5">
        <v>14.5</v>
      </c>
      <c r="O650" s="4">
        <f t="shared" si="20"/>
        <v>28985.5</v>
      </c>
      <c r="P650" s="4">
        <f t="shared" si="21"/>
        <v>170914.5</v>
      </c>
      <c r="Q650" s="3" t="s">
        <v>28</v>
      </c>
      <c r="R650" s="3" t="s">
        <v>67</v>
      </c>
      <c r="S650" s="3" t="s">
        <v>68</v>
      </c>
      <c r="T650" s="3" t="s">
        <v>26</v>
      </c>
    </row>
    <row r="651" spans="1:20" ht="15" customHeight="1" x14ac:dyDescent="0.3">
      <c r="A651" s="3" t="s">
        <v>1948</v>
      </c>
      <c r="B651" s="3" t="s">
        <v>60</v>
      </c>
      <c r="C651" s="3" t="s">
        <v>10</v>
      </c>
      <c r="D651" s="3" t="s">
        <v>1949</v>
      </c>
      <c r="E651" s="3" t="s">
        <v>1950</v>
      </c>
      <c r="F651" s="3" t="s">
        <v>174</v>
      </c>
      <c r="G651" s="3" t="s">
        <v>146</v>
      </c>
      <c r="H651" s="3" t="s">
        <v>18</v>
      </c>
      <c r="I651" s="3">
        <v>110</v>
      </c>
      <c r="J651" s="3" t="s">
        <v>102</v>
      </c>
      <c r="K651" s="3" t="s">
        <v>3</v>
      </c>
      <c r="L651" s="3" t="s">
        <v>206</v>
      </c>
      <c r="M651" s="4">
        <v>74900</v>
      </c>
      <c r="N651" s="5">
        <v>5.3</v>
      </c>
      <c r="O651" s="4">
        <f t="shared" si="20"/>
        <v>3969.7</v>
      </c>
      <c r="P651" s="4">
        <f t="shared" si="21"/>
        <v>70930.3</v>
      </c>
      <c r="Q651" s="3" t="s">
        <v>40</v>
      </c>
      <c r="R651" s="3" t="s">
        <v>67</v>
      </c>
      <c r="S651" s="3" t="s">
        <v>67</v>
      </c>
      <c r="T651" s="3" t="s">
        <v>26</v>
      </c>
    </row>
    <row r="652" spans="1:20" ht="15" customHeight="1" x14ac:dyDescent="0.3">
      <c r="A652" s="3" t="s">
        <v>1951</v>
      </c>
      <c r="B652" s="3" t="s">
        <v>521</v>
      </c>
      <c r="C652" s="3" t="s">
        <v>15</v>
      </c>
      <c r="D652" s="3" t="s">
        <v>1952</v>
      </c>
      <c r="E652" s="3" t="s">
        <v>1953</v>
      </c>
      <c r="F652" s="3" t="s">
        <v>79</v>
      </c>
      <c r="G652" s="3" t="s">
        <v>316</v>
      </c>
      <c r="H652" s="3" t="s">
        <v>19</v>
      </c>
      <c r="I652" s="3">
        <v>150</v>
      </c>
      <c r="J652" s="3" t="s">
        <v>81</v>
      </c>
      <c r="K652" s="3" t="s">
        <v>7</v>
      </c>
      <c r="L652" s="3" t="s">
        <v>206</v>
      </c>
      <c r="M652" s="4">
        <v>109900</v>
      </c>
      <c r="N652" s="5">
        <v>9.6</v>
      </c>
      <c r="O652" s="4">
        <f t="shared" si="20"/>
        <v>10550.4</v>
      </c>
      <c r="P652" s="4">
        <f t="shared" si="21"/>
        <v>99349.6</v>
      </c>
      <c r="Q652" s="3" t="s">
        <v>28</v>
      </c>
      <c r="R652" s="3" t="s">
        <v>67</v>
      </c>
      <c r="S652" s="3" t="s">
        <v>67</v>
      </c>
      <c r="T652" s="3" t="s">
        <v>32</v>
      </c>
    </row>
    <row r="653" spans="1:20" ht="15" customHeight="1" x14ac:dyDescent="0.3">
      <c r="A653" s="3" t="s">
        <v>1954</v>
      </c>
      <c r="B653" s="3" t="s">
        <v>501</v>
      </c>
      <c r="C653" s="3" t="s">
        <v>12</v>
      </c>
      <c r="D653" s="3" t="s">
        <v>591</v>
      </c>
      <c r="E653" s="3" t="s">
        <v>1955</v>
      </c>
      <c r="F653" s="3" t="s">
        <v>124</v>
      </c>
      <c r="G653" s="3" t="s">
        <v>184</v>
      </c>
      <c r="H653" s="3" t="s">
        <v>18</v>
      </c>
      <c r="I653" s="3">
        <v>125</v>
      </c>
      <c r="J653" s="3" t="s">
        <v>243</v>
      </c>
      <c r="K653" s="3" t="s">
        <v>7</v>
      </c>
      <c r="L653" s="3" t="s">
        <v>136</v>
      </c>
      <c r="M653" s="4">
        <v>79900</v>
      </c>
      <c r="N653" s="5">
        <v>12.2</v>
      </c>
      <c r="O653" s="4">
        <f t="shared" si="20"/>
        <v>9747.7999999999993</v>
      </c>
      <c r="P653" s="4">
        <f t="shared" si="21"/>
        <v>70152.2</v>
      </c>
      <c r="Q653" s="3" t="s">
        <v>40</v>
      </c>
      <c r="R653" s="3" t="s">
        <v>67</v>
      </c>
      <c r="S653" s="3" t="s">
        <v>68</v>
      </c>
      <c r="T653" s="3" t="s">
        <v>32</v>
      </c>
    </row>
    <row r="654" spans="1:20" ht="15" customHeight="1" x14ac:dyDescent="0.3">
      <c r="A654" s="3" t="s">
        <v>1956</v>
      </c>
      <c r="B654" s="3" t="s">
        <v>300</v>
      </c>
      <c r="C654" s="3" t="s">
        <v>12</v>
      </c>
      <c r="D654" s="3" t="s">
        <v>373</v>
      </c>
      <c r="E654" s="3" t="s">
        <v>1957</v>
      </c>
      <c r="F654" s="3" t="s">
        <v>112</v>
      </c>
      <c r="G654" s="3" t="s">
        <v>324</v>
      </c>
      <c r="H654" s="3" t="s">
        <v>19</v>
      </c>
      <c r="I654" s="3">
        <v>149</v>
      </c>
      <c r="J654" s="3" t="s">
        <v>96</v>
      </c>
      <c r="K654" s="3" t="s">
        <v>3</v>
      </c>
      <c r="L654" s="3" t="s">
        <v>136</v>
      </c>
      <c r="M654" s="4">
        <v>119900</v>
      </c>
      <c r="N654" s="5">
        <v>6.8</v>
      </c>
      <c r="O654" s="4">
        <f t="shared" si="20"/>
        <v>8153.2</v>
      </c>
      <c r="P654" s="4">
        <f t="shared" si="21"/>
        <v>111746.8</v>
      </c>
      <c r="Q654" s="3" t="s">
        <v>40</v>
      </c>
      <c r="R654" s="3" t="s">
        <v>67</v>
      </c>
      <c r="S654" s="3" t="s">
        <v>67</v>
      </c>
      <c r="T654" s="3" t="s">
        <v>26</v>
      </c>
    </row>
    <row r="655" spans="1:20" ht="15" customHeight="1" x14ac:dyDescent="0.3">
      <c r="A655" s="3" t="s">
        <v>1958</v>
      </c>
      <c r="B655" s="3" t="s">
        <v>92</v>
      </c>
      <c r="C655" s="3" t="s">
        <v>4</v>
      </c>
      <c r="D655" s="3" t="s">
        <v>1959</v>
      </c>
      <c r="E655" s="3" t="s">
        <v>1960</v>
      </c>
      <c r="F655" s="3" t="s">
        <v>112</v>
      </c>
      <c r="G655" s="3" t="s">
        <v>256</v>
      </c>
      <c r="H655" s="3" t="s">
        <v>21</v>
      </c>
      <c r="I655" s="3">
        <v>110</v>
      </c>
      <c r="J655" s="3" t="s">
        <v>243</v>
      </c>
      <c r="K655" s="3" t="s">
        <v>1</v>
      </c>
      <c r="L655" s="3" t="s">
        <v>97</v>
      </c>
      <c r="M655" s="4">
        <v>80900</v>
      </c>
      <c r="N655" s="5">
        <v>5.6</v>
      </c>
      <c r="O655" s="4">
        <f t="shared" si="20"/>
        <v>4530.3999999999996</v>
      </c>
      <c r="P655" s="4">
        <f t="shared" si="21"/>
        <v>76369.600000000006</v>
      </c>
      <c r="Q655" s="3" t="s">
        <v>34</v>
      </c>
      <c r="R655" s="3" t="s">
        <v>67</v>
      </c>
      <c r="S655" s="3" t="s">
        <v>68</v>
      </c>
      <c r="T655" s="3" t="s">
        <v>32</v>
      </c>
    </row>
    <row r="656" spans="1:20" ht="15" customHeight="1" x14ac:dyDescent="0.3">
      <c r="A656" s="3" t="s">
        <v>1961</v>
      </c>
      <c r="B656" s="3" t="s">
        <v>330</v>
      </c>
      <c r="C656" s="3" t="s">
        <v>4</v>
      </c>
      <c r="D656" s="3" t="s">
        <v>1962</v>
      </c>
      <c r="E656" s="3" t="s">
        <v>1963</v>
      </c>
      <c r="F656" s="3" t="s">
        <v>63</v>
      </c>
      <c r="G656" s="3" t="s">
        <v>324</v>
      </c>
      <c r="H656" s="3" t="s">
        <v>19</v>
      </c>
      <c r="I656" s="3">
        <v>149</v>
      </c>
      <c r="J656" s="3" t="s">
        <v>96</v>
      </c>
      <c r="K656" s="3" t="s">
        <v>1</v>
      </c>
      <c r="L656" s="3" t="s">
        <v>66</v>
      </c>
      <c r="M656" s="4">
        <v>119900</v>
      </c>
      <c r="N656" s="5">
        <v>9.8000000000000007</v>
      </c>
      <c r="O656" s="4">
        <f t="shared" si="20"/>
        <v>11750.2</v>
      </c>
      <c r="P656" s="4">
        <f t="shared" si="21"/>
        <v>108149.8</v>
      </c>
      <c r="Q656" s="3" t="s">
        <v>31</v>
      </c>
      <c r="R656" s="3" t="s">
        <v>67</v>
      </c>
      <c r="S656" s="3" t="s">
        <v>68</v>
      </c>
      <c r="T656" s="3" t="s">
        <v>26</v>
      </c>
    </row>
    <row r="657" spans="1:20" ht="15" customHeight="1" x14ac:dyDescent="0.3">
      <c r="A657" s="3" t="s">
        <v>1964</v>
      </c>
      <c r="B657" s="3" t="s">
        <v>304</v>
      </c>
      <c r="C657" s="3" t="s">
        <v>2</v>
      </c>
      <c r="D657" s="3" t="s">
        <v>1470</v>
      </c>
      <c r="E657" s="3" t="s">
        <v>1965</v>
      </c>
      <c r="F657" s="3" t="s">
        <v>117</v>
      </c>
      <c r="G657" s="3" t="s">
        <v>316</v>
      </c>
      <c r="H657" s="3" t="s">
        <v>19</v>
      </c>
      <c r="I657" s="3">
        <v>150</v>
      </c>
      <c r="J657" s="3" t="s">
        <v>102</v>
      </c>
      <c r="K657" s="3" t="s">
        <v>9</v>
      </c>
      <c r="L657" s="3" t="s">
        <v>103</v>
      </c>
      <c r="M657" s="4">
        <v>109900</v>
      </c>
      <c r="N657" s="5">
        <v>4</v>
      </c>
      <c r="O657" s="4">
        <f t="shared" si="20"/>
        <v>4396</v>
      </c>
      <c r="P657" s="4">
        <f t="shared" si="21"/>
        <v>105504</v>
      </c>
      <c r="Q657" s="3" t="s">
        <v>38</v>
      </c>
      <c r="R657" s="3" t="s">
        <v>67</v>
      </c>
      <c r="S657" s="3" t="s">
        <v>67</v>
      </c>
      <c r="T657" s="3" t="s">
        <v>26</v>
      </c>
    </row>
    <row r="658" spans="1:20" ht="15" customHeight="1" x14ac:dyDescent="0.3">
      <c r="A658" s="3" t="s">
        <v>1966</v>
      </c>
      <c r="B658" s="3" t="s">
        <v>938</v>
      </c>
      <c r="C658" s="3" t="s">
        <v>6</v>
      </c>
      <c r="D658" s="3" t="s">
        <v>1433</v>
      </c>
      <c r="E658" s="3" t="s">
        <v>1967</v>
      </c>
      <c r="F658" s="3" t="s">
        <v>145</v>
      </c>
      <c r="G658" s="3" t="s">
        <v>80</v>
      </c>
      <c r="H658" s="3" t="s">
        <v>22</v>
      </c>
      <c r="I658" s="3">
        <v>0</v>
      </c>
      <c r="J658" s="3" t="s">
        <v>129</v>
      </c>
      <c r="K658" s="3" t="s">
        <v>3</v>
      </c>
      <c r="L658" s="3" t="s">
        <v>206</v>
      </c>
      <c r="M658" s="4">
        <v>145000</v>
      </c>
      <c r="N658" s="5">
        <v>11.6</v>
      </c>
      <c r="O658" s="4">
        <f t="shared" si="20"/>
        <v>16820</v>
      </c>
      <c r="P658" s="4">
        <f t="shared" si="21"/>
        <v>128180</v>
      </c>
      <c r="Q658" s="3" t="s">
        <v>36</v>
      </c>
      <c r="R658" s="3" t="s">
        <v>67</v>
      </c>
      <c r="S658" s="3" t="s">
        <v>68</v>
      </c>
      <c r="T658" s="3" t="s">
        <v>29</v>
      </c>
    </row>
    <row r="659" spans="1:20" ht="15" customHeight="1" x14ac:dyDescent="0.3">
      <c r="A659" s="3" t="s">
        <v>1968</v>
      </c>
      <c r="B659" s="3" t="s">
        <v>249</v>
      </c>
      <c r="C659" s="3" t="s">
        <v>13</v>
      </c>
      <c r="D659" s="3" t="s">
        <v>1064</v>
      </c>
      <c r="E659" s="3" t="s">
        <v>1969</v>
      </c>
      <c r="F659" s="3" t="s">
        <v>79</v>
      </c>
      <c r="G659" s="3" t="s">
        <v>156</v>
      </c>
      <c r="H659" s="3" t="s">
        <v>21</v>
      </c>
      <c r="I659" s="3">
        <v>125</v>
      </c>
      <c r="J659" s="3" t="s">
        <v>96</v>
      </c>
      <c r="K659" s="3" t="s">
        <v>3</v>
      </c>
      <c r="L659" s="3" t="s">
        <v>82</v>
      </c>
      <c r="M659" s="4">
        <v>88900</v>
      </c>
      <c r="N659" s="5">
        <v>5.8</v>
      </c>
      <c r="O659" s="4">
        <f t="shared" si="20"/>
        <v>5156.2</v>
      </c>
      <c r="P659" s="4">
        <f t="shared" si="21"/>
        <v>83743.8</v>
      </c>
      <c r="Q659" s="3" t="s">
        <v>38</v>
      </c>
      <c r="R659" s="3" t="s">
        <v>67</v>
      </c>
      <c r="S659" s="3" t="s">
        <v>67</v>
      </c>
      <c r="T659" s="3" t="s">
        <v>26</v>
      </c>
    </row>
    <row r="660" spans="1:20" ht="15" customHeight="1" x14ac:dyDescent="0.3">
      <c r="A660" s="3" t="s">
        <v>1970</v>
      </c>
      <c r="B660" s="3" t="s">
        <v>376</v>
      </c>
      <c r="C660" s="3" t="s">
        <v>8</v>
      </c>
      <c r="D660" s="3" t="s">
        <v>1971</v>
      </c>
      <c r="E660" s="3" t="s">
        <v>1972</v>
      </c>
      <c r="F660" s="3" t="s">
        <v>63</v>
      </c>
      <c r="G660" s="3" t="s">
        <v>146</v>
      </c>
      <c r="H660" s="3" t="s">
        <v>18</v>
      </c>
      <c r="I660" s="3">
        <v>110</v>
      </c>
      <c r="J660" s="3" t="s">
        <v>96</v>
      </c>
      <c r="K660" s="3" t="s">
        <v>7</v>
      </c>
      <c r="L660" s="3" t="s">
        <v>206</v>
      </c>
      <c r="M660" s="4">
        <v>74900</v>
      </c>
      <c r="N660" s="5">
        <v>9.1</v>
      </c>
      <c r="O660" s="4">
        <f t="shared" si="20"/>
        <v>6815.9</v>
      </c>
      <c r="P660" s="4">
        <f t="shared" si="21"/>
        <v>68084.100000000006</v>
      </c>
      <c r="Q660" s="3" t="s">
        <v>40</v>
      </c>
      <c r="R660" s="3" t="s">
        <v>67</v>
      </c>
      <c r="S660" s="3" t="s">
        <v>68</v>
      </c>
      <c r="T660" s="3" t="s">
        <v>26</v>
      </c>
    </row>
    <row r="661" spans="1:20" ht="15" customHeight="1" x14ac:dyDescent="0.3">
      <c r="A661" s="3" t="s">
        <v>1973</v>
      </c>
      <c r="B661" s="3" t="s">
        <v>121</v>
      </c>
      <c r="C661" s="3" t="s">
        <v>13</v>
      </c>
      <c r="D661" s="3" t="s">
        <v>1974</v>
      </c>
      <c r="E661" s="3" t="s">
        <v>1975</v>
      </c>
      <c r="F661" s="3" t="s">
        <v>124</v>
      </c>
      <c r="G661" s="3" t="s">
        <v>189</v>
      </c>
      <c r="H661" s="3" t="s">
        <v>18</v>
      </c>
      <c r="I661" s="3">
        <v>100</v>
      </c>
      <c r="J661" s="3" t="s">
        <v>164</v>
      </c>
      <c r="K661" s="3" t="s">
        <v>5</v>
      </c>
      <c r="L661" s="3" t="s">
        <v>66</v>
      </c>
      <c r="M661" s="4">
        <v>72900</v>
      </c>
      <c r="N661" s="5">
        <v>3.4</v>
      </c>
      <c r="O661" s="4">
        <f t="shared" si="20"/>
        <v>2478.6</v>
      </c>
      <c r="P661" s="4">
        <f t="shared" si="21"/>
        <v>70421.399999999994</v>
      </c>
      <c r="Q661" s="3" t="s">
        <v>40</v>
      </c>
      <c r="R661" s="3" t="s">
        <v>67</v>
      </c>
      <c r="S661" s="3" t="s">
        <v>68</v>
      </c>
      <c r="T661" s="3" t="s">
        <v>29</v>
      </c>
    </row>
    <row r="662" spans="1:20" ht="15" customHeight="1" x14ac:dyDescent="0.3">
      <c r="A662" s="3" t="s">
        <v>1976</v>
      </c>
      <c r="B662" s="3" t="s">
        <v>60</v>
      </c>
      <c r="C662" s="3" t="s">
        <v>10</v>
      </c>
      <c r="D662" s="3" t="s">
        <v>1977</v>
      </c>
      <c r="E662" s="3" t="s">
        <v>1978</v>
      </c>
      <c r="F662" s="3" t="s">
        <v>134</v>
      </c>
      <c r="G662" s="3" t="s">
        <v>146</v>
      </c>
      <c r="H662" s="3" t="s">
        <v>18</v>
      </c>
      <c r="I662" s="3">
        <v>110</v>
      </c>
      <c r="J662" s="3" t="s">
        <v>81</v>
      </c>
      <c r="K662" s="3" t="s">
        <v>3</v>
      </c>
      <c r="L662" s="3" t="s">
        <v>206</v>
      </c>
      <c r="M662" s="4">
        <v>74900</v>
      </c>
      <c r="N662" s="5">
        <v>8.9</v>
      </c>
      <c r="O662" s="4">
        <f t="shared" si="20"/>
        <v>6666.1</v>
      </c>
      <c r="P662" s="4">
        <f t="shared" si="21"/>
        <v>68233.899999999994</v>
      </c>
      <c r="Q662" s="3" t="s">
        <v>31</v>
      </c>
      <c r="R662" s="3" t="s">
        <v>67</v>
      </c>
      <c r="S662" s="3" t="s">
        <v>68</v>
      </c>
      <c r="T662" s="3" t="s">
        <v>26</v>
      </c>
    </row>
    <row r="663" spans="1:20" ht="15" customHeight="1" x14ac:dyDescent="0.3">
      <c r="A663" s="3" t="s">
        <v>1979</v>
      </c>
      <c r="B663" s="3" t="s">
        <v>84</v>
      </c>
      <c r="C663" s="3" t="s">
        <v>17</v>
      </c>
      <c r="D663" s="3" t="s">
        <v>1980</v>
      </c>
      <c r="E663" s="3" t="s">
        <v>1981</v>
      </c>
      <c r="F663" s="3" t="s">
        <v>134</v>
      </c>
      <c r="G663" s="3" t="s">
        <v>189</v>
      </c>
      <c r="H663" s="3" t="s">
        <v>18</v>
      </c>
      <c r="I663" s="3">
        <v>100</v>
      </c>
      <c r="J663" s="3" t="s">
        <v>96</v>
      </c>
      <c r="K663" s="3" t="s">
        <v>5</v>
      </c>
      <c r="L663" s="3" t="s">
        <v>74</v>
      </c>
      <c r="M663" s="4">
        <v>72900</v>
      </c>
      <c r="N663" s="5">
        <v>5.5</v>
      </c>
      <c r="O663" s="4">
        <f t="shared" si="20"/>
        <v>4009.5</v>
      </c>
      <c r="P663" s="4">
        <f t="shared" si="21"/>
        <v>68890.5</v>
      </c>
      <c r="Q663" s="3" t="s">
        <v>31</v>
      </c>
      <c r="R663" s="3" t="s">
        <v>67</v>
      </c>
      <c r="S663" s="3" t="s">
        <v>68</v>
      </c>
      <c r="T663" s="3" t="s">
        <v>26</v>
      </c>
    </row>
    <row r="664" spans="1:20" ht="15" customHeight="1" x14ac:dyDescent="0.3">
      <c r="A664" s="3" t="s">
        <v>1982</v>
      </c>
      <c r="B664" s="3" t="s">
        <v>732</v>
      </c>
      <c r="C664" s="3" t="s">
        <v>8</v>
      </c>
      <c r="D664" s="3" t="s">
        <v>1983</v>
      </c>
      <c r="E664" s="3" t="s">
        <v>1984</v>
      </c>
      <c r="F664" s="3" t="s">
        <v>124</v>
      </c>
      <c r="G664" s="3" t="s">
        <v>211</v>
      </c>
      <c r="H664" s="3" t="s">
        <v>20</v>
      </c>
      <c r="I664" s="3">
        <v>350</v>
      </c>
      <c r="J664" s="3" t="s">
        <v>243</v>
      </c>
      <c r="K664" s="3" t="s">
        <v>9</v>
      </c>
      <c r="L664" s="3" t="s">
        <v>74</v>
      </c>
      <c r="M664" s="4">
        <v>199900</v>
      </c>
      <c r="N664" s="5">
        <v>7.5</v>
      </c>
      <c r="O664" s="4">
        <f t="shared" si="20"/>
        <v>14992.5</v>
      </c>
      <c r="P664" s="4">
        <f t="shared" si="21"/>
        <v>184907.5</v>
      </c>
      <c r="Q664" s="3" t="s">
        <v>31</v>
      </c>
      <c r="R664" s="3" t="s">
        <v>67</v>
      </c>
      <c r="S664" s="3" t="s">
        <v>67</v>
      </c>
      <c r="T664" s="3" t="s">
        <v>32</v>
      </c>
    </row>
    <row r="665" spans="1:20" ht="15" customHeight="1" x14ac:dyDescent="0.3">
      <c r="A665" s="3" t="s">
        <v>1985</v>
      </c>
      <c r="B665" s="3" t="s">
        <v>158</v>
      </c>
      <c r="C665" s="3" t="s">
        <v>16</v>
      </c>
      <c r="D665" s="3" t="s">
        <v>1458</v>
      </c>
      <c r="E665" s="3" t="s">
        <v>1986</v>
      </c>
      <c r="F665" s="3" t="s">
        <v>124</v>
      </c>
      <c r="G665" s="3" t="s">
        <v>135</v>
      </c>
      <c r="H665" s="3" t="s">
        <v>19</v>
      </c>
      <c r="I665" s="3">
        <v>160</v>
      </c>
      <c r="J665" s="3" t="s">
        <v>164</v>
      </c>
      <c r="K665" s="3" t="s">
        <v>3</v>
      </c>
      <c r="L665" s="3" t="s">
        <v>66</v>
      </c>
      <c r="M665" s="4">
        <v>124900</v>
      </c>
      <c r="N665" s="5">
        <v>12</v>
      </c>
      <c r="O665" s="4">
        <f t="shared" si="20"/>
        <v>14988</v>
      </c>
      <c r="P665" s="4">
        <f t="shared" si="21"/>
        <v>109912</v>
      </c>
      <c r="Q665" s="3" t="s">
        <v>38</v>
      </c>
      <c r="R665" s="3" t="s">
        <v>67</v>
      </c>
      <c r="S665" s="3" t="s">
        <v>67</v>
      </c>
      <c r="T665" s="3" t="s">
        <v>26</v>
      </c>
    </row>
    <row r="666" spans="1:20" ht="15" customHeight="1" x14ac:dyDescent="0.3">
      <c r="A666" s="3" t="s">
        <v>1987</v>
      </c>
      <c r="B666" s="3" t="s">
        <v>334</v>
      </c>
      <c r="C666" s="3" t="s">
        <v>0</v>
      </c>
      <c r="D666" s="3" t="s">
        <v>1988</v>
      </c>
      <c r="E666" s="3" t="s">
        <v>1989</v>
      </c>
      <c r="F666" s="3" t="s">
        <v>145</v>
      </c>
      <c r="G666" s="3" t="s">
        <v>211</v>
      </c>
      <c r="H666" s="3" t="s">
        <v>20</v>
      </c>
      <c r="I666" s="3">
        <v>350</v>
      </c>
      <c r="J666" s="3" t="s">
        <v>102</v>
      </c>
      <c r="K666" s="3" t="s">
        <v>11</v>
      </c>
      <c r="L666" s="3" t="s">
        <v>90</v>
      </c>
      <c r="M666" s="4">
        <v>199900</v>
      </c>
      <c r="N666" s="5">
        <v>9.8000000000000007</v>
      </c>
      <c r="O666" s="4">
        <f t="shared" si="20"/>
        <v>19590.2</v>
      </c>
      <c r="P666" s="4">
        <f t="shared" si="21"/>
        <v>180309.8</v>
      </c>
      <c r="Q666" s="3" t="s">
        <v>34</v>
      </c>
      <c r="R666" s="3" t="s">
        <v>67</v>
      </c>
      <c r="S666" s="3" t="s">
        <v>68</v>
      </c>
      <c r="T666" s="3" t="s">
        <v>26</v>
      </c>
    </row>
    <row r="667" spans="1:20" ht="15" customHeight="1" x14ac:dyDescent="0.3">
      <c r="A667" s="3" t="s">
        <v>1990</v>
      </c>
      <c r="B667" s="3" t="s">
        <v>362</v>
      </c>
      <c r="C667" s="3" t="s">
        <v>2</v>
      </c>
      <c r="D667" s="3" t="s">
        <v>544</v>
      </c>
      <c r="E667" s="3" t="s">
        <v>1991</v>
      </c>
      <c r="F667" s="3" t="s">
        <v>112</v>
      </c>
      <c r="G667" s="3" t="s">
        <v>156</v>
      </c>
      <c r="H667" s="3" t="s">
        <v>21</v>
      </c>
      <c r="I667" s="3">
        <v>125</v>
      </c>
      <c r="J667" s="3" t="s">
        <v>179</v>
      </c>
      <c r="K667" s="3" t="s">
        <v>5</v>
      </c>
      <c r="L667" s="3" t="s">
        <v>103</v>
      </c>
      <c r="M667" s="4">
        <v>88900</v>
      </c>
      <c r="N667" s="5">
        <v>12</v>
      </c>
      <c r="O667" s="4">
        <f t="shared" si="20"/>
        <v>10668</v>
      </c>
      <c r="P667" s="4">
        <f t="shared" si="21"/>
        <v>78232</v>
      </c>
      <c r="Q667" s="3" t="s">
        <v>34</v>
      </c>
      <c r="R667" s="3" t="s">
        <v>68</v>
      </c>
      <c r="S667" s="3" t="s">
        <v>67</v>
      </c>
      <c r="T667" s="3" t="s">
        <v>32</v>
      </c>
    </row>
    <row r="668" spans="1:20" ht="15" customHeight="1" x14ac:dyDescent="0.3">
      <c r="A668" s="3" t="s">
        <v>1992</v>
      </c>
      <c r="B668" s="3" t="s">
        <v>493</v>
      </c>
      <c r="C668" s="3" t="s">
        <v>14</v>
      </c>
      <c r="D668" s="3" t="s">
        <v>356</v>
      </c>
      <c r="E668" s="3" t="s">
        <v>1993</v>
      </c>
      <c r="F668" s="3" t="s">
        <v>117</v>
      </c>
      <c r="G668" s="3" t="s">
        <v>135</v>
      </c>
      <c r="H668" s="3" t="s">
        <v>19</v>
      </c>
      <c r="I668" s="3">
        <v>160</v>
      </c>
      <c r="J668" s="3" t="s">
        <v>179</v>
      </c>
      <c r="K668" s="3" t="s">
        <v>11</v>
      </c>
      <c r="L668" s="3" t="s">
        <v>97</v>
      </c>
      <c r="M668" s="4">
        <v>124900</v>
      </c>
      <c r="N668" s="5">
        <v>6.5</v>
      </c>
      <c r="O668" s="4">
        <f t="shared" si="20"/>
        <v>8118.5</v>
      </c>
      <c r="P668" s="4">
        <f t="shared" si="21"/>
        <v>116781.5</v>
      </c>
      <c r="Q668" s="3" t="s">
        <v>38</v>
      </c>
      <c r="R668" s="3" t="s">
        <v>67</v>
      </c>
      <c r="S668" s="3" t="s">
        <v>67</v>
      </c>
      <c r="T668" s="3" t="s">
        <v>26</v>
      </c>
    </row>
    <row r="669" spans="1:20" ht="15" customHeight="1" x14ac:dyDescent="0.3">
      <c r="A669" s="3" t="s">
        <v>1994</v>
      </c>
      <c r="B669" s="3" t="s">
        <v>402</v>
      </c>
      <c r="C669" s="3" t="s">
        <v>2</v>
      </c>
      <c r="D669" s="3" t="s">
        <v>877</v>
      </c>
      <c r="E669" s="3" t="s">
        <v>1995</v>
      </c>
      <c r="F669" s="3" t="s">
        <v>124</v>
      </c>
      <c r="G669" s="3" t="s">
        <v>95</v>
      </c>
      <c r="H669" s="3" t="s">
        <v>22</v>
      </c>
      <c r="I669" s="3">
        <v>0</v>
      </c>
      <c r="J669" s="3" t="s">
        <v>96</v>
      </c>
      <c r="K669" s="3" t="s">
        <v>3</v>
      </c>
      <c r="L669" s="3" t="s">
        <v>90</v>
      </c>
      <c r="M669" s="4">
        <v>139999</v>
      </c>
      <c r="N669" s="5">
        <v>6.4</v>
      </c>
      <c r="O669" s="4">
        <f t="shared" si="20"/>
        <v>8959.9360000000015</v>
      </c>
      <c r="P669" s="4">
        <f t="shared" si="21"/>
        <v>131039.064</v>
      </c>
      <c r="Q669" s="3" t="s">
        <v>25</v>
      </c>
      <c r="R669" s="3" t="s">
        <v>67</v>
      </c>
      <c r="S669" s="3" t="s">
        <v>68</v>
      </c>
      <c r="T669" s="3" t="s">
        <v>26</v>
      </c>
    </row>
    <row r="670" spans="1:20" ht="15" customHeight="1" x14ac:dyDescent="0.3">
      <c r="A670" s="3" t="s">
        <v>1996</v>
      </c>
      <c r="B670" s="3" t="s">
        <v>395</v>
      </c>
      <c r="C670" s="3" t="s">
        <v>14</v>
      </c>
      <c r="D670" s="3" t="s">
        <v>1203</v>
      </c>
      <c r="E670" s="3" t="s">
        <v>1997</v>
      </c>
      <c r="F670" s="3" t="s">
        <v>155</v>
      </c>
      <c r="G670" s="3" t="s">
        <v>88</v>
      </c>
      <c r="H670" s="3" t="s">
        <v>18</v>
      </c>
      <c r="I670" s="3">
        <v>125</v>
      </c>
      <c r="J670" s="3" t="s">
        <v>102</v>
      </c>
      <c r="K670" s="3" t="s">
        <v>5</v>
      </c>
      <c r="L670" s="3" t="s">
        <v>206</v>
      </c>
      <c r="M670" s="4">
        <v>94900</v>
      </c>
      <c r="N670" s="5">
        <v>9</v>
      </c>
      <c r="O670" s="4">
        <f t="shared" si="20"/>
        <v>8541</v>
      </c>
      <c r="P670" s="4">
        <f t="shared" si="21"/>
        <v>86359</v>
      </c>
      <c r="Q670" s="3" t="s">
        <v>25</v>
      </c>
      <c r="R670" s="3" t="s">
        <v>67</v>
      </c>
      <c r="S670" s="3" t="s">
        <v>68</v>
      </c>
      <c r="T670" s="3" t="s">
        <v>32</v>
      </c>
    </row>
    <row r="671" spans="1:20" ht="15" customHeight="1" x14ac:dyDescent="0.3">
      <c r="A671" s="3" t="s">
        <v>1998</v>
      </c>
      <c r="B671" s="3" t="s">
        <v>676</v>
      </c>
      <c r="C671" s="3" t="s">
        <v>15</v>
      </c>
      <c r="D671" s="3" t="s">
        <v>1833</v>
      </c>
      <c r="E671" s="3" t="s">
        <v>1999</v>
      </c>
      <c r="F671" s="3" t="s">
        <v>63</v>
      </c>
      <c r="G671" s="3" t="s">
        <v>146</v>
      </c>
      <c r="H671" s="3" t="s">
        <v>18</v>
      </c>
      <c r="I671" s="3">
        <v>110</v>
      </c>
      <c r="J671" s="3" t="s">
        <v>102</v>
      </c>
      <c r="K671" s="3" t="s">
        <v>1</v>
      </c>
      <c r="L671" s="3" t="s">
        <v>82</v>
      </c>
      <c r="M671" s="4">
        <v>74900</v>
      </c>
      <c r="N671" s="5">
        <v>4.5</v>
      </c>
      <c r="O671" s="4">
        <f t="shared" si="20"/>
        <v>3370.5</v>
      </c>
      <c r="P671" s="4">
        <f t="shared" si="21"/>
        <v>71529.5</v>
      </c>
      <c r="Q671" s="3" t="s">
        <v>36</v>
      </c>
      <c r="R671" s="3" t="s">
        <v>68</v>
      </c>
      <c r="S671" s="3" t="s">
        <v>67</v>
      </c>
      <c r="T671" s="3" t="s">
        <v>26</v>
      </c>
    </row>
    <row r="672" spans="1:20" ht="15" customHeight="1" x14ac:dyDescent="0.3">
      <c r="A672" s="3" t="s">
        <v>2000</v>
      </c>
      <c r="B672" s="3" t="s">
        <v>847</v>
      </c>
      <c r="C672" s="3" t="s">
        <v>13</v>
      </c>
      <c r="D672" s="3" t="s">
        <v>2001</v>
      </c>
      <c r="E672" s="3" t="s">
        <v>2002</v>
      </c>
      <c r="F672" s="3" t="s">
        <v>63</v>
      </c>
      <c r="G672" s="3" t="s">
        <v>169</v>
      </c>
      <c r="H672" s="3" t="s">
        <v>18</v>
      </c>
      <c r="I672" s="3">
        <v>162</v>
      </c>
      <c r="J672" s="3" t="s">
        <v>129</v>
      </c>
      <c r="K672" s="3" t="s">
        <v>1</v>
      </c>
      <c r="L672" s="3" t="s">
        <v>103</v>
      </c>
      <c r="M672" s="4">
        <v>124900</v>
      </c>
      <c r="N672" s="5">
        <v>5.7</v>
      </c>
      <c r="O672" s="4">
        <f t="shared" si="20"/>
        <v>7119.3</v>
      </c>
      <c r="P672" s="4">
        <f t="shared" si="21"/>
        <v>117780.7</v>
      </c>
      <c r="Q672" s="3" t="s">
        <v>34</v>
      </c>
      <c r="R672" s="3" t="s">
        <v>68</v>
      </c>
      <c r="S672" s="3" t="s">
        <v>67</v>
      </c>
      <c r="T672" s="3" t="s">
        <v>26</v>
      </c>
    </row>
    <row r="673" spans="1:20" ht="15" customHeight="1" x14ac:dyDescent="0.3">
      <c r="A673" s="3" t="s">
        <v>2003</v>
      </c>
      <c r="B673" s="3" t="s">
        <v>639</v>
      </c>
      <c r="C673" s="3" t="s">
        <v>16</v>
      </c>
      <c r="D673" s="3" t="s">
        <v>2004</v>
      </c>
      <c r="E673" s="3" t="s">
        <v>2005</v>
      </c>
      <c r="F673" s="3" t="s">
        <v>87</v>
      </c>
      <c r="G673" s="3" t="s">
        <v>256</v>
      </c>
      <c r="H673" s="3" t="s">
        <v>21</v>
      </c>
      <c r="I673" s="3">
        <v>110</v>
      </c>
      <c r="J673" s="3" t="s">
        <v>89</v>
      </c>
      <c r="K673" s="3" t="s">
        <v>11</v>
      </c>
      <c r="L673" s="3" t="s">
        <v>82</v>
      </c>
      <c r="M673" s="4">
        <v>80900</v>
      </c>
      <c r="N673" s="5">
        <v>3.7</v>
      </c>
      <c r="O673" s="4">
        <f t="shared" si="20"/>
        <v>2993.3</v>
      </c>
      <c r="P673" s="4">
        <f t="shared" si="21"/>
        <v>77906.7</v>
      </c>
      <c r="Q673" s="3" t="s">
        <v>34</v>
      </c>
      <c r="R673" s="3" t="s">
        <v>67</v>
      </c>
      <c r="S673" s="3" t="s">
        <v>67</v>
      </c>
      <c r="T673" s="3" t="s">
        <v>32</v>
      </c>
    </row>
    <row r="674" spans="1:20" ht="15" customHeight="1" x14ac:dyDescent="0.3">
      <c r="A674" s="3" t="s">
        <v>2006</v>
      </c>
      <c r="B674" s="3" t="s">
        <v>406</v>
      </c>
      <c r="C674" s="3" t="s">
        <v>17</v>
      </c>
      <c r="D674" s="3" t="s">
        <v>1754</v>
      </c>
      <c r="E674" s="3" t="s">
        <v>2007</v>
      </c>
      <c r="F674" s="3" t="s">
        <v>134</v>
      </c>
      <c r="G674" s="3" t="s">
        <v>256</v>
      </c>
      <c r="H674" s="3" t="s">
        <v>21</v>
      </c>
      <c r="I674" s="3">
        <v>110</v>
      </c>
      <c r="J674" s="3" t="s">
        <v>96</v>
      </c>
      <c r="K674" s="3" t="s">
        <v>1</v>
      </c>
      <c r="L674" s="3" t="s">
        <v>74</v>
      </c>
      <c r="M674" s="4">
        <v>80900</v>
      </c>
      <c r="N674" s="5">
        <v>9.1999999999999993</v>
      </c>
      <c r="O674" s="4">
        <f t="shared" si="20"/>
        <v>7442.8</v>
      </c>
      <c r="P674" s="4">
        <f t="shared" si="21"/>
        <v>73457.2</v>
      </c>
      <c r="Q674" s="3" t="s">
        <v>36</v>
      </c>
      <c r="R674" s="3" t="s">
        <v>67</v>
      </c>
      <c r="S674" s="3" t="s">
        <v>68</v>
      </c>
      <c r="T674" s="3" t="s">
        <v>32</v>
      </c>
    </row>
    <row r="675" spans="1:20" ht="15" customHeight="1" x14ac:dyDescent="0.3">
      <c r="A675" s="3" t="s">
        <v>2008</v>
      </c>
      <c r="B675" s="3" t="s">
        <v>1067</v>
      </c>
      <c r="C675" s="3" t="s">
        <v>17</v>
      </c>
      <c r="D675" s="3" t="s">
        <v>2009</v>
      </c>
      <c r="E675" s="3" t="s">
        <v>2010</v>
      </c>
      <c r="F675" s="3" t="s">
        <v>155</v>
      </c>
      <c r="G675" s="3" t="s">
        <v>146</v>
      </c>
      <c r="H675" s="3" t="s">
        <v>18</v>
      </c>
      <c r="I675" s="3">
        <v>110</v>
      </c>
      <c r="J675" s="3" t="s">
        <v>129</v>
      </c>
      <c r="K675" s="3" t="s">
        <v>1</v>
      </c>
      <c r="L675" s="3" t="s">
        <v>74</v>
      </c>
      <c r="M675" s="4">
        <v>74900</v>
      </c>
      <c r="N675" s="5">
        <v>4.4000000000000004</v>
      </c>
      <c r="O675" s="4">
        <f t="shared" si="20"/>
        <v>3295.6</v>
      </c>
      <c r="P675" s="4">
        <f t="shared" si="21"/>
        <v>71604.399999999994</v>
      </c>
      <c r="Q675" s="3" t="s">
        <v>31</v>
      </c>
      <c r="R675" s="3" t="s">
        <v>67</v>
      </c>
      <c r="S675" s="3" t="s">
        <v>68</v>
      </c>
      <c r="T675" s="3" t="s">
        <v>26</v>
      </c>
    </row>
    <row r="676" spans="1:20" ht="15" customHeight="1" x14ac:dyDescent="0.3">
      <c r="A676" s="3" t="s">
        <v>2011</v>
      </c>
      <c r="B676" s="3" t="s">
        <v>639</v>
      </c>
      <c r="C676" s="3" t="s">
        <v>10</v>
      </c>
      <c r="D676" s="3" t="s">
        <v>2012</v>
      </c>
      <c r="E676" s="3" t="s">
        <v>2013</v>
      </c>
      <c r="F676" s="3" t="s">
        <v>174</v>
      </c>
      <c r="G676" s="3" t="s">
        <v>64</v>
      </c>
      <c r="H676" s="3" t="s">
        <v>19</v>
      </c>
      <c r="I676" s="3">
        <v>200</v>
      </c>
      <c r="J676" s="3" t="s">
        <v>81</v>
      </c>
      <c r="K676" s="3" t="s">
        <v>11</v>
      </c>
      <c r="L676" s="3" t="s">
        <v>103</v>
      </c>
      <c r="M676" s="4">
        <v>199900</v>
      </c>
      <c r="N676" s="5">
        <v>4.9000000000000004</v>
      </c>
      <c r="O676" s="4">
        <f t="shared" si="20"/>
        <v>9795.1</v>
      </c>
      <c r="P676" s="4">
        <f t="shared" si="21"/>
        <v>190104.9</v>
      </c>
      <c r="Q676" s="3" t="s">
        <v>25</v>
      </c>
      <c r="R676" s="3" t="s">
        <v>67</v>
      </c>
      <c r="S676" s="3" t="s">
        <v>68</v>
      </c>
      <c r="T676" s="3" t="s">
        <v>32</v>
      </c>
    </row>
    <row r="677" spans="1:20" ht="15" customHeight="1" x14ac:dyDescent="0.3">
      <c r="A677" s="3" t="s">
        <v>2014</v>
      </c>
      <c r="B677" s="3" t="s">
        <v>60</v>
      </c>
      <c r="C677" s="3" t="s">
        <v>10</v>
      </c>
      <c r="D677" s="3" t="s">
        <v>2015</v>
      </c>
      <c r="E677" s="3" t="s">
        <v>2016</v>
      </c>
      <c r="F677" s="3" t="s">
        <v>117</v>
      </c>
      <c r="G677" s="3" t="s">
        <v>64</v>
      </c>
      <c r="H677" s="3" t="s">
        <v>19</v>
      </c>
      <c r="I677" s="3">
        <v>200</v>
      </c>
      <c r="J677" s="3" t="s">
        <v>96</v>
      </c>
      <c r="K677" s="3" t="s">
        <v>11</v>
      </c>
      <c r="L677" s="3" t="s">
        <v>74</v>
      </c>
      <c r="M677" s="4">
        <v>199900</v>
      </c>
      <c r="N677" s="5">
        <v>13.7</v>
      </c>
      <c r="O677" s="4">
        <f t="shared" si="20"/>
        <v>27386.3</v>
      </c>
      <c r="P677" s="4">
        <f t="shared" si="21"/>
        <v>172513.7</v>
      </c>
      <c r="Q677" s="3" t="s">
        <v>28</v>
      </c>
      <c r="R677" s="3" t="s">
        <v>67</v>
      </c>
      <c r="S677" s="3" t="s">
        <v>68</v>
      </c>
      <c r="T677" s="3" t="s">
        <v>26</v>
      </c>
    </row>
    <row r="678" spans="1:20" ht="15" customHeight="1" x14ac:dyDescent="0.3">
      <c r="A678" s="3" t="s">
        <v>2017</v>
      </c>
      <c r="B678" s="3" t="s">
        <v>437</v>
      </c>
      <c r="C678" s="3" t="s">
        <v>0</v>
      </c>
      <c r="D678" s="3" t="s">
        <v>1470</v>
      </c>
      <c r="E678" s="3" t="s">
        <v>2018</v>
      </c>
      <c r="F678" s="3" t="s">
        <v>87</v>
      </c>
      <c r="G678" s="3" t="s">
        <v>169</v>
      </c>
      <c r="H678" s="3" t="s">
        <v>18</v>
      </c>
      <c r="I678" s="3">
        <v>162</v>
      </c>
      <c r="J678" s="3" t="s">
        <v>179</v>
      </c>
      <c r="K678" s="3" t="s">
        <v>11</v>
      </c>
      <c r="L678" s="3" t="s">
        <v>74</v>
      </c>
      <c r="M678" s="4">
        <v>124900</v>
      </c>
      <c r="N678" s="5">
        <v>5.7</v>
      </c>
      <c r="O678" s="4">
        <f t="shared" si="20"/>
        <v>7119.3</v>
      </c>
      <c r="P678" s="4">
        <f t="shared" si="21"/>
        <v>117780.7</v>
      </c>
      <c r="Q678" s="3" t="s">
        <v>31</v>
      </c>
      <c r="R678" s="3" t="s">
        <v>67</v>
      </c>
      <c r="S678" s="3" t="s">
        <v>67</v>
      </c>
      <c r="T678" s="3" t="s">
        <v>26</v>
      </c>
    </row>
    <row r="679" spans="1:20" ht="15" customHeight="1" x14ac:dyDescent="0.3">
      <c r="A679" s="3" t="s">
        <v>2019</v>
      </c>
      <c r="B679" s="3" t="s">
        <v>213</v>
      </c>
      <c r="C679" s="3" t="s">
        <v>8</v>
      </c>
      <c r="D679" s="3" t="s">
        <v>2020</v>
      </c>
      <c r="E679" s="3" t="s">
        <v>2021</v>
      </c>
      <c r="F679" s="3" t="s">
        <v>145</v>
      </c>
      <c r="G679" s="3" t="s">
        <v>118</v>
      </c>
      <c r="H679" s="3" t="s">
        <v>20</v>
      </c>
      <c r="I679" s="3">
        <v>350</v>
      </c>
      <c r="J679" s="3" t="s">
        <v>179</v>
      </c>
      <c r="K679" s="3" t="s">
        <v>1</v>
      </c>
      <c r="L679" s="3" t="s">
        <v>136</v>
      </c>
      <c r="M679" s="4">
        <v>159900</v>
      </c>
      <c r="N679" s="5">
        <v>9.6</v>
      </c>
      <c r="O679" s="4">
        <f t="shared" si="20"/>
        <v>15350.4</v>
      </c>
      <c r="P679" s="4">
        <f t="shared" si="21"/>
        <v>144549.6</v>
      </c>
      <c r="Q679" s="3" t="s">
        <v>40</v>
      </c>
      <c r="R679" s="3" t="s">
        <v>68</v>
      </c>
      <c r="S679" s="3" t="s">
        <v>68</v>
      </c>
      <c r="T679" s="3" t="s">
        <v>26</v>
      </c>
    </row>
    <row r="680" spans="1:20" ht="15" customHeight="1" x14ac:dyDescent="0.3">
      <c r="A680" s="3" t="s">
        <v>2022</v>
      </c>
      <c r="B680" s="3" t="s">
        <v>501</v>
      </c>
      <c r="C680" s="3" t="s">
        <v>12</v>
      </c>
      <c r="D680" s="3" t="s">
        <v>2023</v>
      </c>
      <c r="E680" s="3" t="s">
        <v>2024</v>
      </c>
      <c r="F680" s="3" t="s">
        <v>145</v>
      </c>
      <c r="G680" s="3" t="s">
        <v>324</v>
      </c>
      <c r="H680" s="3" t="s">
        <v>19</v>
      </c>
      <c r="I680" s="3">
        <v>149</v>
      </c>
      <c r="J680" s="3" t="s">
        <v>179</v>
      </c>
      <c r="K680" s="3" t="s">
        <v>3</v>
      </c>
      <c r="L680" s="3" t="s">
        <v>66</v>
      </c>
      <c r="M680" s="4">
        <v>119900</v>
      </c>
      <c r="N680" s="5">
        <v>3.9</v>
      </c>
      <c r="O680" s="4">
        <f t="shared" si="20"/>
        <v>4676.1000000000004</v>
      </c>
      <c r="P680" s="4">
        <f t="shared" si="21"/>
        <v>115223.9</v>
      </c>
      <c r="Q680" s="3" t="s">
        <v>40</v>
      </c>
      <c r="R680" s="3" t="s">
        <v>68</v>
      </c>
      <c r="S680" s="3" t="s">
        <v>68</v>
      </c>
      <c r="T680" s="3" t="s">
        <v>26</v>
      </c>
    </row>
    <row r="681" spans="1:20" ht="15" customHeight="1" x14ac:dyDescent="0.3">
      <c r="A681" s="3" t="s">
        <v>2025</v>
      </c>
      <c r="B681" s="3" t="s">
        <v>166</v>
      </c>
      <c r="C681" s="3" t="s">
        <v>4</v>
      </c>
      <c r="D681" s="3" t="s">
        <v>2026</v>
      </c>
      <c r="E681" s="3" t="s">
        <v>2027</v>
      </c>
      <c r="F681" s="3" t="s">
        <v>112</v>
      </c>
      <c r="G681" s="3" t="s">
        <v>211</v>
      </c>
      <c r="H681" s="3" t="s">
        <v>20</v>
      </c>
      <c r="I681" s="3">
        <v>350</v>
      </c>
      <c r="J681" s="3" t="s">
        <v>164</v>
      </c>
      <c r="K681" s="3" t="s">
        <v>7</v>
      </c>
      <c r="L681" s="3" t="s">
        <v>206</v>
      </c>
      <c r="M681" s="4">
        <v>199900</v>
      </c>
      <c r="N681" s="5">
        <v>4.2</v>
      </c>
      <c r="O681" s="4">
        <f t="shared" si="20"/>
        <v>8395.7999999999993</v>
      </c>
      <c r="P681" s="4">
        <f t="shared" si="21"/>
        <v>191504.2</v>
      </c>
      <c r="Q681" s="3" t="s">
        <v>40</v>
      </c>
      <c r="R681" s="3" t="s">
        <v>68</v>
      </c>
      <c r="S681" s="3" t="s">
        <v>67</v>
      </c>
      <c r="T681" s="3" t="s">
        <v>26</v>
      </c>
    </row>
    <row r="682" spans="1:20" ht="15" customHeight="1" x14ac:dyDescent="0.3">
      <c r="A682" s="3" t="s">
        <v>2028</v>
      </c>
      <c r="B682" s="3" t="s">
        <v>203</v>
      </c>
      <c r="C682" s="3" t="s">
        <v>10</v>
      </c>
      <c r="D682" s="3" t="s">
        <v>187</v>
      </c>
      <c r="E682" s="3" t="s">
        <v>2029</v>
      </c>
      <c r="F682" s="3" t="s">
        <v>134</v>
      </c>
      <c r="G682" s="3" t="s">
        <v>256</v>
      </c>
      <c r="H682" s="3" t="s">
        <v>21</v>
      </c>
      <c r="I682" s="3">
        <v>110</v>
      </c>
      <c r="J682" s="3" t="s">
        <v>89</v>
      </c>
      <c r="K682" s="3" t="s">
        <v>5</v>
      </c>
      <c r="L682" s="3" t="s">
        <v>66</v>
      </c>
      <c r="M682" s="4">
        <v>80900</v>
      </c>
      <c r="N682" s="5">
        <v>12.6</v>
      </c>
      <c r="O682" s="4">
        <f t="shared" si="20"/>
        <v>10193.4</v>
      </c>
      <c r="P682" s="4">
        <f t="shared" si="21"/>
        <v>70706.600000000006</v>
      </c>
      <c r="Q682" s="3" t="s">
        <v>38</v>
      </c>
      <c r="R682" s="3" t="s">
        <v>68</v>
      </c>
      <c r="S682" s="3" t="s">
        <v>68</v>
      </c>
      <c r="T682" s="3" t="s">
        <v>26</v>
      </c>
    </row>
    <row r="683" spans="1:20" ht="15" customHeight="1" x14ac:dyDescent="0.3">
      <c r="A683" s="3" t="s">
        <v>2030</v>
      </c>
      <c r="B683" s="3" t="s">
        <v>272</v>
      </c>
      <c r="C683" s="3" t="s">
        <v>0</v>
      </c>
      <c r="D683" s="3" t="s">
        <v>2031</v>
      </c>
      <c r="E683" s="3" t="s">
        <v>2032</v>
      </c>
      <c r="F683" s="3" t="s">
        <v>155</v>
      </c>
      <c r="G683" s="3" t="s">
        <v>256</v>
      </c>
      <c r="H683" s="3" t="s">
        <v>21</v>
      </c>
      <c r="I683" s="3">
        <v>110</v>
      </c>
      <c r="J683" s="3" t="s">
        <v>243</v>
      </c>
      <c r="K683" s="3" t="s">
        <v>1</v>
      </c>
      <c r="L683" s="3" t="s">
        <v>90</v>
      </c>
      <c r="M683" s="4">
        <v>80900</v>
      </c>
      <c r="N683" s="5">
        <v>10.7</v>
      </c>
      <c r="O683" s="4">
        <f t="shared" si="20"/>
        <v>8656.2999999999993</v>
      </c>
      <c r="P683" s="4">
        <f t="shared" si="21"/>
        <v>72243.7</v>
      </c>
      <c r="Q683" s="3" t="s">
        <v>40</v>
      </c>
      <c r="R683" s="3" t="s">
        <v>67</v>
      </c>
      <c r="S683" s="3" t="s">
        <v>68</v>
      </c>
      <c r="T683" s="3" t="s">
        <v>26</v>
      </c>
    </row>
    <row r="684" spans="1:20" ht="15" customHeight="1" x14ac:dyDescent="0.3">
      <c r="A684" s="3" t="s">
        <v>2033</v>
      </c>
      <c r="B684" s="3" t="s">
        <v>384</v>
      </c>
      <c r="C684" s="3" t="s">
        <v>15</v>
      </c>
      <c r="D684" s="3" t="s">
        <v>921</v>
      </c>
      <c r="E684" s="3" t="s">
        <v>2034</v>
      </c>
      <c r="F684" s="3" t="s">
        <v>134</v>
      </c>
      <c r="G684" s="3" t="s">
        <v>222</v>
      </c>
      <c r="H684" s="3" t="s">
        <v>19</v>
      </c>
      <c r="I684" s="3">
        <v>155</v>
      </c>
      <c r="J684" s="3" t="s">
        <v>96</v>
      </c>
      <c r="K684" s="3" t="s">
        <v>1</v>
      </c>
      <c r="L684" s="3" t="s">
        <v>66</v>
      </c>
      <c r="M684" s="4">
        <v>167900</v>
      </c>
      <c r="N684" s="5">
        <v>9.6</v>
      </c>
      <c r="O684" s="4">
        <f t="shared" si="20"/>
        <v>16118.4</v>
      </c>
      <c r="P684" s="4">
        <f t="shared" si="21"/>
        <v>151781.6</v>
      </c>
      <c r="Q684" s="3" t="s">
        <v>40</v>
      </c>
      <c r="R684" s="3" t="s">
        <v>67</v>
      </c>
      <c r="S684" s="3" t="s">
        <v>68</v>
      </c>
      <c r="T684" s="3" t="s">
        <v>26</v>
      </c>
    </row>
    <row r="685" spans="1:20" ht="15" customHeight="1" x14ac:dyDescent="0.3">
      <c r="A685" s="3" t="s">
        <v>2035</v>
      </c>
      <c r="B685" s="3" t="s">
        <v>341</v>
      </c>
      <c r="C685" s="3" t="s">
        <v>12</v>
      </c>
      <c r="D685" s="3" t="s">
        <v>1422</v>
      </c>
      <c r="E685" s="3" t="s">
        <v>2036</v>
      </c>
      <c r="F685" s="3" t="s">
        <v>87</v>
      </c>
      <c r="G685" s="3" t="s">
        <v>73</v>
      </c>
      <c r="H685" s="3" t="s">
        <v>21</v>
      </c>
      <c r="I685" s="3">
        <v>110</v>
      </c>
      <c r="J685" s="3" t="s">
        <v>81</v>
      </c>
      <c r="K685" s="3" t="s">
        <v>3</v>
      </c>
      <c r="L685" s="3" t="s">
        <v>97</v>
      </c>
      <c r="M685" s="4">
        <v>79900</v>
      </c>
      <c r="N685" s="5">
        <v>9.1999999999999993</v>
      </c>
      <c r="O685" s="4">
        <f t="shared" si="20"/>
        <v>7350.8</v>
      </c>
      <c r="P685" s="4">
        <f t="shared" si="21"/>
        <v>72549.2</v>
      </c>
      <c r="Q685" s="3" t="s">
        <v>28</v>
      </c>
      <c r="R685" s="3" t="s">
        <v>68</v>
      </c>
      <c r="S685" s="3" t="s">
        <v>68</v>
      </c>
      <c r="T685" s="3" t="s">
        <v>29</v>
      </c>
    </row>
    <row r="686" spans="1:20" ht="15" customHeight="1" x14ac:dyDescent="0.3">
      <c r="A686" s="3" t="s">
        <v>2037</v>
      </c>
      <c r="B686" s="3" t="s">
        <v>253</v>
      </c>
      <c r="C686" s="3" t="s">
        <v>17</v>
      </c>
      <c r="D686" s="3" t="s">
        <v>2038</v>
      </c>
      <c r="E686" s="3" t="s">
        <v>2039</v>
      </c>
      <c r="F686" s="3" t="s">
        <v>155</v>
      </c>
      <c r="G686" s="3" t="s">
        <v>324</v>
      </c>
      <c r="H686" s="3" t="s">
        <v>19</v>
      </c>
      <c r="I686" s="3">
        <v>149</v>
      </c>
      <c r="J686" s="3" t="s">
        <v>89</v>
      </c>
      <c r="K686" s="3" t="s">
        <v>5</v>
      </c>
      <c r="L686" s="3" t="s">
        <v>82</v>
      </c>
      <c r="M686" s="4">
        <v>119900</v>
      </c>
      <c r="N686" s="5">
        <v>12.1</v>
      </c>
      <c r="O686" s="4">
        <f t="shared" si="20"/>
        <v>14507.9</v>
      </c>
      <c r="P686" s="4">
        <f t="shared" si="21"/>
        <v>105392.1</v>
      </c>
      <c r="Q686" s="3" t="s">
        <v>36</v>
      </c>
      <c r="R686" s="3" t="s">
        <v>67</v>
      </c>
      <c r="S686" s="3" t="s">
        <v>68</v>
      </c>
      <c r="T686" s="3" t="s">
        <v>32</v>
      </c>
    </row>
    <row r="687" spans="1:20" ht="15" customHeight="1" x14ac:dyDescent="0.3">
      <c r="A687" s="3" t="s">
        <v>2040</v>
      </c>
      <c r="B687" s="3" t="s">
        <v>421</v>
      </c>
      <c r="C687" s="3" t="s">
        <v>15</v>
      </c>
      <c r="D687" s="3" t="s">
        <v>739</v>
      </c>
      <c r="E687" s="3" t="s">
        <v>2041</v>
      </c>
      <c r="F687" s="3" t="s">
        <v>79</v>
      </c>
      <c r="G687" s="3" t="s">
        <v>156</v>
      </c>
      <c r="H687" s="3" t="s">
        <v>21</v>
      </c>
      <c r="I687" s="3">
        <v>125</v>
      </c>
      <c r="J687" s="3" t="s">
        <v>96</v>
      </c>
      <c r="K687" s="3" t="s">
        <v>5</v>
      </c>
      <c r="L687" s="3" t="s">
        <v>74</v>
      </c>
      <c r="M687" s="4">
        <v>88900</v>
      </c>
      <c r="N687" s="5">
        <v>13.9</v>
      </c>
      <c r="O687" s="4">
        <f t="shared" si="20"/>
        <v>12357.1</v>
      </c>
      <c r="P687" s="4">
        <f t="shared" si="21"/>
        <v>76542.899999999994</v>
      </c>
      <c r="Q687" s="3" t="s">
        <v>25</v>
      </c>
      <c r="R687" s="3" t="s">
        <v>68</v>
      </c>
      <c r="S687" s="3" t="s">
        <v>68</v>
      </c>
      <c r="T687" s="3" t="s">
        <v>26</v>
      </c>
    </row>
    <row r="688" spans="1:20" ht="15" customHeight="1" x14ac:dyDescent="0.3">
      <c r="A688" s="3" t="s">
        <v>2042</v>
      </c>
      <c r="B688" s="3" t="s">
        <v>318</v>
      </c>
      <c r="C688" s="3" t="s">
        <v>16</v>
      </c>
      <c r="D688" s="3" t="s">
        <v>1698</v>
      </c>
      <c r="E688" s="3" t="s">
        <v>2043</v>
      </c>
      <c r="F688" s="3" t="s">
        <v>63</v>
      </c>
      <c r="G688" s="3" t="s">
        <v>316</v>
      </c>
      <c r="H688" s="3" t="s">
        <v>19</v>
      </c>
      <c r="I688" s="3">
        <v>150</v>
      </c>
      <c r="J688" s="3" t="s">
        <v>81</v>
      </c>
      <c r="K688" s="3" t="s">
        <v>9</v>
      </c>
      <c r="L688" s="3" t="s">
        <v>97</v>
      </c>
      <c r="M688" s="4">
        <v>109900</v>
      </c>
      <c r="N688" s="5">
        <v>10.6</v>
      </c>
      <c r="O688" s="4">
        <f t="shared" si="20"/>
        <v>11649.4</v>
      </c>
      <c r="P688" s="4">
        <f t="shared" si="21"/>
        <v>98250.6</v>
      </c>
      <c r="Q688" s="3" t="s">
        <v>40</v>
      </c>
      <c r="R688" s="3" t="s">
        <v>67</v>
      </c>
      <c r="S688" s="3" t="s">
        <v>67</v>
      </c>
      <c r="T688" s="3" t="s">
        <v>26</v>
      </c>
    </row>
    <row r="689" spans="1:20" ht="15" customHeight="1" x14ac:dyDescent="0.3">
      <c r="A689" s="3" t="s">
        <v>2044</v>
      </c>
      <c r="B689" s="3" t="s">
        <v>181</v>
      </c>
      <c r="C689" s="3" t="s">
        <v>4</v>
      </c>
      <c r="D689" s="3" t="s">
        <v>1162</v>
      </c>
      <c r="E689" s="3" t="s">
        <v>2045</v>
      </c>
      <c r="F689" s="3" t="s">
        <v>134</v>
      </c>
      <c r="G689" s="3" t="s">
        <v>324</v>
      </c>
      <c r="H689" s="3" t="s">
        <v>19</v>
      </c>
      <c r="I689" s="3">
        <v>149</v>
      </c>
      <c r="J689" s="3" t="s">
        <v>89</v>
      </c>
      <c r="K689" s="3" t="s">
        <v>7</v>
      </c>
      <c r="L689" s="3" t="s">
        <v>136</v>
      </c>
      <c r="M689" s="4">
        <v>119900</v>
      </c>
      <c r="N689" s="5">
        <v>3.9</v>
      </c>
      <c r="O689" s="4">
        <f t="shared" si="20"/>
        <v>4676.1000000000004</v>
      </c>
      <c r="P689" s="4">
        <f t="shared" si="21"/>
        <v>115223.9</v>
      </c>
      <c r="Q689" s="3" t="s">
        <v>28</v>
      </c>
      <c r="R689" s="3" t="s">
        <v>68</v>
      </c>
      <c r="S689" s="3" t="s">
        <v>68</v>
      </c>
      <c r="T689" s="3" t="s">
        <v>26</v>
      </c>
    </row>
    <row r="690" spans="1:20" ht="15" customHeight="1" x14ac:dyDescent="0.3">
      <c r="A690" s="3" t="s">
        <v>2046</v>
      </c>
      <c r="B690" s="3" t="s">
        <v>289</v>
      </c>
      <c r="C690" s="3" t="s">
        <v>4</v>
      </c>
      <c r="D690" s="3" t="s">
        <v>1854</v>
      </c>
      <c r="E690" s="3" t="s">
        <v>2047</v>
      </c>
      <c r="F690" s="3" t="s">
        <v>134</v>
      </c>
      <c r="G690" s="3" t="s">
        <v>73</v>
      </c>
      <c r="H690" s="3" t="s">
        <v>21</v>
      </c>
      <c r="I690" s="3">
        <v>110</v>
      </c>
      <c r="J690" s="3" t="s">
        <v>129</v>
      </c>
      <c r="K690" s="3" t="s">
        <v>9</v>
      </c>
      <c r="L690" s="3" t="s">
        <v>97</v>
      </c>
      <c r="M690" s="4">
        <v>79900</v>
      </c>
      <c r="N690" s="5">
        <v>5.3</v>
      </c>
      <c r="O690" s="4">
        <f t="shared" si="20"/>
        <v>4234.7</v>
      </c>
      <c r="P690" s="4">
        <f t="shared" si="21"/>
        <v>75665.3</v>
      </c>
      <c r="Q690" s="3" t="s">
        <v>25</v>
      </c>
      <c r="R690" s="3" t="s">
        <v>67</v>
      </c>
      <c r="S690" s="3" t="s">
        <v>68</v>
      </c>
      <c r="T690" s="3" t="s">
        <v>26</v>
      </c>
    </row>
    <row r="691" spans="1:20" ht="15" customHeight="1" x14ac:dyDescent="0.3">
      <c r="A691" s="3" t="s">
        <v>2048</v>
      </c>
      <c r="B691" s="3" t="s">
        <v>607</v>
      </c>
      <c r="C691" s="3" t="s">
        <v>15</v>
      </c>
      <c r="D691" s="3" t="s">
        <v>2049</v>
      </c>
      <c r="E691" s="3" t="s">
        <v>2050</v>
      </c>
      <c r="F691" s="3" t="s">
        <v>63</v>
      </c>
      <c r="G691" s="3" t="s">
        <v>316</v>
      </c>
      <c r="H691" s="3" t="s">
        <v>19</v>
      </c>
      <c r="I691" s="3">
        <v>150</v>
      </c>
      <c r="J691" s="3" t="s">
        <v>65</v>
      </c>
      <c r="K691" s="3" t="s">
        <v>9</v>
      </c>
      <c r="L691" s="3" t="s">
        <v>136</v>
      </c>
      <c r="M691" s="4">
        <v>109900</v>
      </c>
      <c r="N691" s="5">
        <v>12.3</v>
      </c>
      <c r="O691" s="4">
        <f t="shared" si="20"/>
        <v>13517.7</v>
      </c>
      <c r="P691" s="4">
        <f t="shared" si="21"/>
        <v>96382.3</v>
      </c>
      <c r="Q691" s="3" t="s">
        <v>36</v>
      </c>
      <c r="R691" s="3" t="s">
        <v>68</v>
      </c>
      <c r="S691" s="3" t="s">
        <v>68</v>
      </c>
      <c r="T691" s="3" t="s">
        <v>32</v>
      </c>
    </row>
    <row r="692" spans="1:20" ht="15" customHeight="1" x14ac:dyDescent="0.3">
      <c r="A692" s="3" t="s">
        <v>2051</v>
      </c>
      <c r="B692" s="3" t="s">
        <v>142</v>
      </c>
      <c r="C692" s="3" t="s">
        <v>10</v>
      </c>
      <c r="D692" s="3" t="s">
        <v>327</v>
      </c>
      <c r="E692" s="3" t="s">
        <v>2052</v>
      </c>
      <c r="F692" s="3" t="s">
        <v>124</v>
      </c>
      <c r="G692" s="3" t="s">
        <v>80</v>
      </c>
      <c r="H692" s="3" t="s">
        <v>22</v>
      </c>
      <c r="I692" s="3">
        <v>0</v>
      </c>
      <c r="J692" s="3" t="s">
        <v>81</v>
      </c>
      <c r="K692" s="3" t="s">
        <v>9</v>
      </c>
      <c r="L692" s="3" t="s">
        <v>74</v>
      </c>
      <c r="M692" s="4">
        <v>145000</v>
      </c>
      <c r="N692" s="5">
        <v>3.7</v>
      </c>
      <c r="O692" s="4">
        <f t="shared" si="20"/>
        <v>5365</v>
      </c>
      <c r="P692" s="4">
        <f t="shared" si="21"/>
        <v>139635</v>
      </c>
      <c r="Q692" s="3" t="s">
        <v>28</v>
      </c>
      <c r="R692" s="3" t="s">
        <v>67</v>
      </c>
      <c r="S692" s="3" t="s">
        <v>68</v>
      </c>
      <c r="T692" s="3" t="s">
        <v>29</v>
      </c>
    </row>
    <row r="693" spans="1:20" ht="15" customHeight="1" x14ac:dyDescent="0.3">
      <c r="A693" s="3" t="s">
        <v>2053</v>
      </c>
      <c r="B693" s="3" t="s">
        <v>198</v>
      </c>
      <c r="C693" s="3" t="s">
        <v>2</v>
      </c>
      <c r="D693" s="3" t="s">
        <v>1980</v>
      </c>
      <c r="E693" s="3" t="s">
        <v>2054</v>
      </c>
      <c r="F693" s="3" t="s">
        <v>124</v>
      </c>
      <c r="G693" s="3" t="s">
        <v>189</v>
      </c>
      <c r="H693" s="3" t="s">
        <v>18</v>
      </c>
      <c r="I693" s="3">
        <v>100</v>
      </c>
      <c r="J693" s="3" t="s">
        <v>89</v>
      </c>
      <c r="K693" s="3" t="s">
        <v>1</v>
      </c>
      <c r="L693" s="3" t="s">
        <v>66</v>
      </c>
      <c r="M693" s="4">
        <v>72900</v>
      </c>
      <c r="N693" s="5">
        <v>5.9</v>
      </c>
      <c r="O693" s="4">
        <f t="shared" si="20"/>
        <v>4301.1000000000004</v>
      </c>
      <c r="P693" s="4">
        <f t="shared" si="21"/>
        <v>68598.899999999994</v>
      </c>
      <c r="Q693" s="3" t="s">
        <v>28</v>
      </c>
      <c r="R693" s="3" t="s">
        <v>67</v>
      </c>
      <c r="S693" s="3" t="s">
        <v>68</v>
      </c>
      <c r="T693" s="3" t="s">
        <v>32</v>
      </c>
    </row>
    <row r="694" spans="1:20" ht="15" customHeight="1" x14ac:dyDescent="0.3">
      <c r="A694" s="3" t="s">
        <v>2055</v>
      </c>
      <c r="B694" s="3" t="s">
        <v>76</v>
      </c>
      <c r="C694" s="3" t="s">
        <v>4</v>
      </c>
      <c r="D694" s="3" t="s">
        <v>645</v>
      </c>
      <c r="E694" s="3" t="s">
        <v>2056</v>
      </c>
      <c r="F694" s="3" t="s">
        <v>63</v>
      </c>
      <c r="G694" s="3" t="s">
        <v>64</v>
      </c>
      <c r="H694" s="3" t="s">
        <v>19</v>
      </c>
      <c r="I694" s="3">
        <v>200</v>
      </c>
      <c r="J694" s="3" t="s">
        <v>65</v>
      </c>
      <c r="K694" s="3" t="s">
        <v>1</v>
      </c>
      <c r="L694" s="3" t="s">
        <v>90</v>
      </c>
      <c r="M694" s="4">
        <v>199900</v>
      </c>
      <c r="N694" s="5">
        <v>13.1</v>
      </c>
      <c r="O694" s="4">
        <f t="shared" si="20"/>
        <v>26186.9</v>
      </c>
      <c r="P694" s="4">
        <f t="shared" si="21"/>
        <v>173713.1</v>
      </c>
      <c r="Q694" s="3" t="s">
        <v>40</v>
      </c>
      <c r="R694" s="3" t="s">
        <v>68</v>
      </c>
      <c r="S694" s="3" t="s">
        <v>68</v>
      </c>
      <c r="T694" s="3" t="s">
        <v>26</v>
      </c>
    </row>
    <row r="695" spans="1:20" ht="15" customHeight="1" x14ac:dyDescent="0.3">
      <c r="A695" s="3" t="s">
        <v>2057</v>
      </c>
      <c r="B695" s="3" t="s">
        <v>318</v>
      </c>
      <c r="C695" s="3" t="s">
        <v>16</v>
      </c>
      <c r="D695" s="3" t="s">
        <v>2058</v>
      </c>
      <c r="E695" s="3" t="s">
        <v>2059</v>
      </c>
      <c r="F695" s="3" t="s">
        <v>155</v>
      </c>
      <c r="G695" s="3" t="s">
        <v>146</v>
      </c>
      <c r="H695" s="3" t="s">
        <v>18</v>
      </c>
      <c r="I695" s="3">
        <v>110</v>
      </c>
      <c r="J695" s="3" t="s">
        <v>89</v>
      </c>
      <c r="K695" s="3" t="s">
        <v>9</v>
      </c>
      <c r="L695" s="3" t="s">
        <v>74</v>
      </c>
      <c r="M695" s="4">
        <v>74900</v>
      </c>
      <c r="N695" s="5">
        <v>5.0999999999999996</v>
      </c>
      <c r="O695" s="4">
        <f t="shared" si="20"/>
        <v>3819.9</v>
      </c>
      <c r="P695" s="4">
        <f t="shared" si="21"/>
        <v>71080.100000000006</v>
      </c>
      <c r="Q695" s="3" t="s">
        <v>28</v>
      </c>
      <c r="R695" s="3" t="s">
        <v>67</v>
      </c>
      <c r="S695" s="3" t="s">
        <v>68</v>
      </c>
      <c r="T695" s="3" t="s">
        <v>26</v>
      </c>
    </row>
    <row r="696" spans="1:20" ht="15" customHeight="1" x14ac:dyDescent="0.3">
      <c r="A696" s="3" t="s">
        <v>2060</v>
      </c>
      <c r="B696" s="3" t="s">
        <v>176</v>
      </c>
      <c r="C696" s="3" t="s">
        <v>10</v>
      </c>
      <c r="D696" s="3" t="s">
        <v>2061</v>
      </c>
      <c r="E696" s="3" t="s">
        <v>2062</v>
      </c>
      <c r="F696" s="3" t="s">
        <v>145</v>
      </c>
      <c r="G696" s="3" t="s">
        <v>316</v>
      </c>
      <c r="H696" s="3" t="s">
        <v>19</v>
      </c>
      <c r="I696" s="3">
        <v>150</v>
      </c>
      <c r="J696" s="3" t="s">
        <v>65</v>
      </c>
      <c r="K696" s="3" t="s">
        <v>5</v>
      </c>
      <c r="L696" s="3" t="s">
        <v>82</v>
      </c>
      <c r="M696" s="4">
        <v>109900</v>
      </c>
      <c r="N696" s="5">
        <v>14.1</v>
      </c>
      <c r="O696" s="4">
        <f t="shared" si="20"/>
        <v>15495.9</v>
      </c>
      <c r="P696" s="4">
        <f t="shared" si="21"/>
        <v>94404.1</v>
      </c>
      <c r="Q696" s="3" t="s">
        <v>34</v>
      </c>
      <c r="R696" s="3" t="s">
        <v>67</v>
      </c>
      <c r="S696" s="3" t="s">
        <v>68</v>
      </c>
      <c r="T696" s="3" t="s">
        <v>32</v>
      </c>
    </row>
    <row r="697" spans="1:20" ht="15" customHeight="1" x14ac:dyDescent="0.3">
      <c r="A697" s="3" t="s">
        <v>2063</v>
      </c>
      <c r="B697" s="3" t="s">
        <v>607</v>
      </c>
      <c r="C697" s="3" t="s">
        <v>15</v>
      </c>
      <c r="D697" s="3" t="s">
        <v>800</v>
      </c>
      <c r="E697" s="3" t="s">
        <v>2064</v>
      </c>
      <c r="F697" s="3" t="s">
        <v>174</v>
      </c>
      <c r="G697" s="3" t="s">
        <v>256</v>
      </c>
      <c r="H697" s="3" t="s">
        <v>21</v>
      </c>
      <c r="I697" s="3">
        <v>110</v>
      </c>
      <c r="J697" s="3" t="s">
        <v>129</v>
      </c>
      <c r="K697" s="3" t="s">
        <v>7</v>
      </c>
      <c r="L697" s="3" t="s">
        <v>103</v>
      </c>
      <c r="M697" s="4">
        <v>80900</v>
      </c>
      <c r="N697" s="5">
        <v>6.1</v>
      </c>
      <c r="O697" s="4">
        <f t="shared" si="20"/>
        <v>4934.8999999999996</v>
      </c>
      <c r="P697" s="4">
        <f t="shared" si="21"/>
        <v>75965.100000000006</v>
      </c>
      <c r="Q697" s="3" t="s">
        <v>34</v>
      </c>
      <c r="R697" s="3" t="s">
        <v>67</v>
      </c>
      <c r="S697" s="3" t="s">
        <v>67</v>
      </c>
      <c r="T697" s="3" t="s">
        <v>26</v>
      </c>
    </row>
    <row r="698" spans="1:20" ht="15" customHeight="1" x14ac:dyDescent="0.3">
      <c r="A698" s="3" t="s">
        <v>2065</v>
      </c>
      <c r="B698" s="3" t="s">
        <v>245</v>
      </c>
      <c r="C698" s="3" t="s">
        <v>14</v>
      </c>
      <c r="D698" s="3" t="s">
        <v>912</v>
      </c>
      <c r="E698" s="3" t="s">
        <v>2066</v>
      </c>
      <c r="F698" s="3" t="s">
        <v>87</v>
      </c>
      <c r="G698" s="3" t="s">
        <v>95</v>
      </c>
      <c r="H698" s="3" t="s">
        <v>22</v>
      </c>
      <c r="I698" s="3">
        <v>0</v>
      </c>
      <c r="J698" s="3" t="s">
        <v>89</v>
      </c>
      <c r="K698" s="3" t="s">
        <v>9</v>
      </c>
      <c r="L698" s="3" t="s">
        <v>103</v>
      </c>
      <c r="M698" s="4">
        <v>139999</v>
      </c>
      <c r="N698" s="5">
        <v>11.3</v>
      </c>
      <c r="O698" s="4">
        <f t="shared" si="20"/>
        <v>15819.887000000002</v>
      </c>
      <c r="P698" s="4">
        <f t="shared" si="21"/>
        <v>124179.113</v>
      </c>
      <c r="Q698" s="3" t="s">
        <v>34</v>
      </c>
      <c r="R698" s="3" t="s">
        <v>67</v>
      </c>
      <c r="S698" s="3" t="s">
        <v>68</v>
      </c>
      <c r="T698" s="3" t="s">
        <v>32</v>
      </c>
    </row>
    <row r="699" spans="1:20" ht="15" customHeight="1" x14ac:dyDescent="0.3">
      <c r="A699" s="3" t="s">
        <v>2067</v>
      </c>
      <c r="B699" s="3" t="s">
        <v>158</v>
      </c>
      <c r="C699" s="3" t="s">
        <v>16</v>
      </c>
      <c r="D699" s="3" t="s">
        <v>2068</v>
      </c>
      <c r="E699" s="3" t="s">
        <v>2069</v>
      </c>
      <c r="F699" s="3" t="s">
        <v>124</v>
      </c>
      <c r="G699" s="3" t="s">
        <v>64</v>
      </c>
      <c r="H699" s="3" t="s">
        <v>19</v>
      </c>
      <c r="I699" s="3">
        <v>200</v>
      </c>
      <c r="J699" s="3" t="s">
        <v>129</v>
      </c>
      <c r="K699" s="3" t="s">
        <v>9</v>
      </c>
      <c r="L699" s="3" t="s">
        <v>206</v>
      </c>
      <c r="M699" s="4">
        <v>199900</v>
      </c>
      <c r="N699" s="5">
        <v>5.7</v>
      </c>
      <c r="O699" s="4">
        <f t="shared" si="20"/>
        <v>11394.3</v>
      </c>
      <c r="P699" s="4">
        <f t="shared" si="21"/>
        <v>188505.7</v>
      </c>
      <c r="Q699" s="3" t="s">
        <v>31</v>
      </c>
      <c r="R699" s="3" t="s">
        <v>67</v>
      </c>
      <c r="S699" s="3" t="s">
        <v>68</v>
      </c>
      <c r="T699" s="3" t="s">
        <v>26</v>
      </c>
    </row>
    <row r="700" spans="1:20" ht="15" customHeight="1" x14ac:dyDescent="0.3">
      <c r="A700" s="3" t="s">
        <v>2070</v>
      </c>
      <c r="B700" s="3" t="s">
        <v>224</v>
      </c>
      <c r="C700" s="3" t="s">
        <v>0</v>
      </c>
      <c r="D700" s="3" t="s">
        <v>1167</v>
      </c>
      <c r="E700" s="3" t="s">
        <v>2071</v>
      </c>
      <c r="F700" s="3" t="s">
        <v>117</v>
      </c>
      <c r="G700" s="3" t="s">
        <v>189</v>
      </c>
      <c r="H700" s="3" t="s">
        <v>18</v>
      </c>
      <c r="I700" s="3">
        <v>100</v>
      </c>
      <c r="J700" s="3" t="s">
        <v>102</v>
      </c>
      <c r="K700" s="3" t="s">
        <v>7</v>
      </c>
      <c r="L700" s="3" t="s">
        <v>90</v>
      </c>
      <c r="M700" s="4">
        <v>72900</v>
      </c>
      <c r="N700" s="5">
        <v>7</v>
      </c>
      <c r="O700" s="4">
        <f t="shared" si="20"/>
        <v>5103</v>
      </c>
      <c r="P700" s="4">
        <f t="shared" si="21"/>
        <v>67797</v>
      </c>
      <c r="Q700" s="3" t="s">
        <v>40</v>
      </c>
      <c r="R700" s="3" t="s">
        <v>67</v>
      </c>
      <c r="S700" s="3" t="s">
        <v>67</v>
      </c>
      <c r="T700" s="3" t="s">
        <v>26</v>
      </c>
    </row>
    <row r="701" spans="1:20" ht="15" customHeight="1" x14ac:dyDescent="0.3">
      <c r="A701" s="3" t="s">
        <v>2072</v>
      </c>
      <c r="B701" s="3" t="s">
        <v>1010</v>
      </c>
      <c r="C701" s="3" t="s">
        <v>6</v>
      </c>
      <c r="D701" s="3" t="s">
        <v>2073</v>
      </c>
      <c r="E701" s="3" t="s">
        <v>2074</v>
      </c>
      <c r="F701" s="3" t="s">
        <v>124</v>
      </c>
      <c r="G701" s="3" t="s">
        <v>73</v>
      </c>
      <c r="H701" s="3" t="s">
        <v>21</v>
      </c>
      <c r="I701" s="3">
        <v>110</v>
      </c>
      <c r="J701" s="3" t="s">
        <v>129</v>
      </c>
      <c r="K701" s="3" t="s">
        <v>11</v>
      </c>
      <c r="L701" s="3" t="s">
        <v>90</v>
      </c>
      <c r="M701" s="4">
        <v>79900</v>
      </c>
      <c r="N701" s="5">
        <v>4.4000000000000004</v>
      </c>
      <c r="O701" s="4">
        <f t="shared" si="20"/>
        <v>3515.6</v>
      </c>
      <c r="P701" s="4">
        <f t="shared" si="21"/>
        <v>76384.399999999994</v>
      </c>
      <c r="Q701" s="3" t="s">
        <v>25</v>
      </c>
      <c r="R701" s="3" t="s">
        <v>67</v>
      </c>
      <c r="S701" s="3" t="s">
        <v>67</v>
      </c>
      <c r="T701" s="3" t="s">
        <v>29</v>
      </c>
    </row>
    <row r="702" spans="1:20" ht="15" customHeight="1" x14ac:dyDescent="0.3">
      <c r="A702" s="3" t="s">
        <v>2075</v>
      </c>
      <c r="B702" s="3" t="s">
        <v>722</v>
      </c>
      <c r="C702" s="3" t="s">
        <v>2</v>
      </c>
      <c r="D702" s="3" t="s">
        <v>2076</v>
      </c>
      <c r="E702" s="3" t="s">
        <v>2077</v>
      </c>
      <c r="F702" s="3" t="s">
        <v>155</v>
      </c>
      <c r="G702" s="3" t="s">
        <v>201</v>
      </c>
      <c r="H702" s="3" t="s">
        <v>19</v>
      </c>
      <c r="I702" s="3">
        <v>160</v>
      </c>
      <c r="J702" s="3" t="s">
        <v>119</v>
      </c>
      <c r="K702" s="3" t="s">
        <v>5</v>
      </c>
      <c r="L702" s="3" t="s">
        <v>90</v>
      </c>
      <c r="M702" s="4">
        <v>129900</v>
      </c>
      <c r="N702" s="5">
        <v>7.4</v>
      </c>
      <c r="O702" s="4">
        <f t="shared" si="20"/>
        <v>9612.6</v>
      </c>
      <c r="P702" s="4">
        <f t="shared" si="21"/>
        <v>120287.4</v>
      </c>
      <c r="Q702" s="3" t="s">
        <v>40</v>
      </c>
      <c r="R702" s="3" t="s">
        <v>67</v>
      </c>
      <c r="S702" s="3" t="s">
        <v>68</v>
      </c>
      <c r="T702" s="3" t="s">
        <v>26</v>
      </c>
    </row>
    <row r="703" spans="1:20" ht="15" customHeight="1" x14ac:dyDescent="0.3">
      <c r="A703" s="3" t="s">
        <v>2078</v>
      </c>
      <c r="B703" s="3" t="s">
        <v>138</v>
      </c>
      <c r="C703" s="3" t="s">
        <v>10</v>
      </c>
      <c r="D703" s="3" t="s">
        <v>2079</v>
      </c>
      <c r="E703" s="3" t="s">
        <v>2080</v>
      </c>
      <c r="F703" s="3" t="s">
        <v>63</v>
      </c>
      <c r="G703" s="3" t="s">
        <v>80</v>
      </c>
      <c r="H703" s="3" t="s">
        <v>22</v>
      </c>
      <c r="I703" s="3">
        <v>0</v>
      </c>
      <c r="J703" s="3" t="s">
        <v>102</v>
      </c>
      <c r="K703" s="3" t="s">
        <v>1</v>
      </c>
      <c r="L703" s="3" t="s">
        <v>66</v>
      </c>
      <c r="M703" s="4">
        <v>145000</v>
      </c>
      <c r="N703" s="5">
        <v>11.1</v>
      </c>
      <c r="O703" s="4">
        <f t="shared" si="20"/>
        <v>16095</v>
      </c>
      <c r="P703" s="4">
        <f t="shared" si="21"/>
        <v>128905</v>
      </c>
      <c r="Q703" s="3" t="s">
        <v>34</v>
      </c>
      <c r="R703" s="3" t="s">
        <v>67</v>
      </c>
      <c r="S703" s="3" t="s">
        <v>68</v>
      </c>
      <c r="T703" s="3" t="s">
        <v>29</v>
      </c>
    </row>
    <row r="704" spans="1:20" ht="15" customHeight="1" x14ac:dyDescent="0.3">
      <c r="A704" s="3" t="s">
        <v>2081</v>
      </c>
      <c r="B704" s="3" t="s">
        <v>482</v>
      </c>
      <c r="C704" s="3" t="s">
        <v>6</v>
      </c>
      <c r="D704" s="3" t="s">
        <v>2082</v>
      </c>
      <c r="E704" s="3" t="s">
        <v>2083</v>
      </c>
      <c r="F704" s="3" t="s">
        <v>79</v>
      </c>
      <c r="G704" s="3" t="s">
        <v>211</v>
      </c>
      <c r="H704" s="3" t="s">
        <v>20</v>
      </c>
      <c r="I704" s="3">
        <v>350</v>
      </c>
      <c r="J704" s="3" t="s">
        <v>164</v>
      </c>
      <c r="K704" s="3" t="s">
        <v>5</v>
      </c>
      <c r="L704" s="3" t="s">
        <v>82</v>
      </c>
      <c r="M704" s="4">
        <v>199900</v>
      </c>
      <c r="N704" s="5">
        <v>3.8</v>
      </c>
      <c r="O704" s="4">
        <f t="shared" si="20"/>
        <v>7596.2</v>
      </c>
      <c r="P704" s="4">
        <f t="shared" si="21"/>
        <v>192303.8</v>
      </c>
      <c r="Q704" s="3" t="s">
        <v>34</v>
      </c>
      <c r="R704" s="3" t="s">
        <v>67</v>
      </c>
      <c r="S704" s="3" t="s">
        <v>68</v>
      </c>
      <c r="T704" s="3" t="s">
        <v>26</v>
      </c>
    </row>
    <row r="705" spans="1:20" ht="15" customHeight="1" x14ac:dyDescent="0.3">
      <c r="A705" s="3" t="s">
        <v>2084</v>
      </c>
      <c r="B705" s="3" t="s">
        <v>186</v>
      </c>
      <c r="C705" s="3" t="s">
        <v>6</v>
      </c>
      <c r="D705" s="3" t="s">
        <v>2085</v>
      </c>
      <c r="E705" s="3" t="s">
        <v>2086</v>
      </c>
      <c r="F705" s="3" t="s">
        <v>79</v>
      </c>
      <c r="G705" s="3" t="s">
        <v>146</v>
      </c>
      <c r="H705" s="3" t="s">
        <v>18</v>
      </c>
      <c r="I705" s="3">
        <v>110</v>
      </c>
      <c r="J705" s="3" t="s">
        <v>119</v>
      </c>
      <c r="K705" s="3" t="s">
        <v>9</v>
      </c>
      <c r="L705" s="3" t="s">
        <v>136</v>
      </c>
      <c r="M705" s="4">
        <v>74900</v>
      </c>
      <c r="N705" s="5">
        <v>6.8</v>
      </c>
      <c r="O705" s="4">
        <f t="shared" si="20"/>
        <v>5093.2</v>
      </c>
      <c r="P705" s="4">
        <f t="shared" si="21"/>
        <v>69806.8</v>
      </c>
      <c r="Q705" s="3" t="s">
        <v>25</v>
      </c>
      <c r="R705" s="3" t="s">
        <v>68</v>
      </c>
      <c r="S705" s="3" t="s">
        <v>68</v>
      </c>
      <c r="T705" s="3" t="s">
        <v>29</v>
      </c>
    </row>
    <row r="706" spans="1:20" ht="15" customHeight="1" x14ac:dyDescent="0.3">
      <c r="A706" s="3" t="s">
        <v>2087</v>
      </c>
      <c r="B706" s="3" t="s">
        <v>181</v>
      </c>
      <c r="C706" s="3" t="s">
        <v>4</v>
      </c>
      <c r="D706" s="3" t="s">
        <v>2088</v>
      </c>
      <c r="E706" s="3" t="s">
        <v>2089</v>
      </c>
      <c r="F706" s="3" t="s">
        <v>174</v>
      </c>
      <c r="G706" s="3" t="s">
        <v>256</v>
      </c>
      <c r="H706" s="3" t="s">
        <v>21</v>
      </c>
      <c r="I706" s="3">
        <v>110</v>
      </c>
      <c r="J706" s="3" t="s">
        <v>65</v>
      </c>
      <c r="K706" s="3" t="s">
        <v>9</v>
      </c>
      <c r="L706" s="3" t="s">
        <v>90</v>
      </c>
      <c r="M706" s="4">
        <v>80900</v>
      </c>
      <c r="N706" s="5">
        <v>14.7</v>
      </c>
      <c r="O706" s="4">
        <f t="shared" ref="O706:O769" si="22">M706*N706/100</f>
        <v>11892.3</v>
      </c>
      <c r="P706" s="4">
        <f t="shared" ref="P706:P769" si="23">M706-O706</f>
        <v>69007.7</v>
      </c>
      <c r="Q706" s="3" t="s">
        <v>31</v>
      </c>
      <c r="R706" s="3" t="s">
        <v>67</v>
      </c>
      <c r="S706" s="3" t="s">
        <v>68</v>
      </c>
      <c r="T706" s="3" t="s">
        <v>26</v>
      </c>
    </row>
    <row r="707" spans="1:20" ht="15" customHeight="1" x14ac:dyDescent="0.3">
      <c r="A707" s="3" t="s">
        <v>2090</v>
      </c>
      <c r="B707" s="3" t="s">
        <v>158</v>
      </c>
      <c r="C707" s="3" t="s">
        <v>10</v>
      </c>
      <c r="D707" s="3" t="s">
        <v>939</v>
      </c>
      <c r="E707" s="3" t="s">
        <v>2091</v>
      </c>
      <c r="F707" s="3" t="s">
        <v>79</v>
      </c>
      <c r="G707" s="3" t="s">
        <v>73</v>
      </c>
      <c r="H707" s="3" t="s">
        <v>21</v>
      </c>
      <c r="I707" s="3">
        <v>110</v>
      </c>
      <c r="J707" s="3" t="s">
        <v>129</v>
      </c>
      <c r="K707" s="3" t="s">
        <v>9</v>
      </c>
      <c r="L707" s="3" t="s">
        <v>103</v>
      </c>
      <c r="M707" s="4">
        <v>79900</v>
      </c>
      <c r="N707" s="5">
        <v>5.7</v>
      </c>
      <c r="O707" s="4">
        <f t="shared" si="22"/>
        <v>4554.3</v>
      </c>
      <c r="P707" s="4">
        <f t="shared" si="23"/>
        <v>75345.7</v>
      </c>
      <c r="Q707" s="3" t="s">
        <v>31</v>
      </c>
      <c r="R707" s="3" t="s">
        <v>68</v>
      </c>
      <c r="S707" s="3" t="s">
        <v>67</v>
      </c>
      <c r="T707" s="3" t="s">
        <v>26</v>
      </c>
    </row>
    <row r="708" spans="1:20" ht="15" customHeight="1" x14ac:dyDescent="0.3">
      <c r="A708" s="3" t="s">
        <v>2092</v>
      </c>
      <c r="B708" s="3" t="s">
        <v>621</v>
      </c>
      <c r="C708" s="3" t="s">
        <v>13</v>
      </c>
      <c r="D708" s="3" t="s">
        <v>2093</v>
      </c>
      <c r="E708" s="3" t="s">
        <v>2094</v>
      </c>
      <c r="F708" s="3" t="s">
        <v>174</v>
      </c>
      <c r="G708" s="3" t="s">
        <v>222</v>
      </c>
      <c r="H708" s="3" t="s">
        <v>19</v>
      </c>
      <c r="I708" s="3">
        <v>155</v>
      </c>
      <c r="J708" s="3" t="s">
        <v>243</v>
      </c>
      <c r="K708" s="3" t="s">
        <v>5</v>
      </c>
      <c r="L708" s="3" t="s">
        <v>103</v>
      </c>
      <c r="M708" s="4">
        <v>167900</v>
      </c>
      <c r="N708" s="5">
        <v>10.4</v>
      </c>
      <c r="O708" s="4">
        <f t="shared" si="22"/>
        <v>17461.599999999999</v>
      </c>
      <c r="P708" s="4">
        <f t="shared" si="23"/>
        <v>150438.39999999999</v>
      </c>
      <c r="Q708" s="3" t="s">
        <v>38</v>
      </c>
      <c r="R708" s="3" t="s">
        <v>67</v>
      </c>
      <c r="S708" s="3" t="s">
        <v>68</v>
      </c>
      <c r="T708" s="3" t="s">
        <v>29</v>
      </c>
    </row>
    <row r="709" spans="1:20" ht="15" customHeight="1" x14ac:dyDescent="0.3">
      <c r="A709" s="3" t="s">
        <v>2095</v>
      </c>
      <c r="B709" s="3" t="s">
        <v>171</v>
      </c>
      <c r="C709" s="3" t="s">
        <v>12</v>
      </c>
      <c r="D709" s="3" t="s">
        <v>1849</v>
      </c>
      <c r="E709" s="3" t="s">
        <v>2096</v>
      </c>
      <c r="F709" s="3" t="s">
        <v>124</v>
      </c>
      <c r="G709" s="3" t="s">
        <v>80</v>
      </c>
      <c r="H709" s="3" t="s">
        <v>22</v>
      </c>
      <c r="I709" s="3">
        <v>0</v>
      </c>
      <c r="J709" s="3" t="s">
        <v>119</v>
      </c>
      <c r="K709" s="3" t="s">
        <v>3</v>
      </c>
      <c r="L709" s="3" t="s">
        <v>136</v>
      </c>
      <c r="M709" s="4">
        <v>145000</v>
      </c>
      <c r="N709" s="5">
        <v>5.0999999999999996</v>
      </c>
      <c r="O709" s="4">
        <f t="shared" si="22"/>
        <v>7395</v>
      </c>
      <c r="P709" s="4">
        <f t="shared" si="23"/>
        <v>137605</v>
      </c>
      <c r="Q709" s="3" t="s">
        <v>34</v>
      </c>
      <c r="R709" s="3" t="s">
        <v>67</v>
      </c>
      <c r="S709" s="3" t="s">
        <v>68</v>
      </c>
      <c r="T709" s="3" t="s">
        <v>26</v>
      </c>
    </row>
    <row r="710" spans="1:20" ht="15" customHeight="1" x14ac:dyDescent="0.3">
      <c r="A710" s="3" t="s">
        <v>2097</v>
      </c>
      <c r="B710" s="3" t="s">
        <v>722</v>
      </c>
      <c r="C710" s="3" t="s">
        <v>2</v>
      </c>
      <c r="D710" s="3" t="s">
        <v>2098</v>
      </c>
      <c r="E710" s="3" t="s">
        <v>2099</v>
      </c>
      <c r="F710" s="3" t="s">
        <v>124</v>
      </c>
      <c r="G710" s="3" t="s">
        <v>156</v>
      </c>
      <c r="H710" s="3" t="s">
        <v>21</v>
      </c>
      <c r="I710" s="3">
        <v>125</v>
      </c>
      <c r="J710" s="3" t="s">
        <v>89</v>
      </c>
      <c r="K710" s="3" t="s">
        <v>11</v>
      </c>
      <c r="L710" s="3" t="s">
        <v>82</v>
      </c>
      <c r="M710" s="4">
        <v>88900</v>
      </c>
      <c r="N710" s="5">
        <v>9.3000000000000007</v>
      </c>
      <c r="O710" s="4">
        <f t="shared" si="22"/>
        <v>8267.7000000000007</v>
      </c>
      <c r="P710" s="4">
        <f t="shared" si="23"/>
        <v>80632.3</v>
      </c>
      <c r="Q710" s="3" t="s">
        <v>40</v>
      </c>
      <c r="R710" s="3" t="s">
        <v>67</v>
      </c>
      <c r="S710" s="3" t="s">
        <v>68</v>
      </c>
      <c r="T710" s="3" t="s">
        <v>26</v>
      </c>
    </row>
    <row r="711" spans="1:20" ht="15" customHeight="1" x14ac:dyDescent="0.3">
      <c r="A711" s="3" t="s">
        <v>2100</v>
      </c>
      <c r="B711" s="3" t="s">
        <v>1486</v>
      </c>
      <c r="C711" s="3" t="s">
        <v>16</v>
      </c>
      <c r="D711" s="3" t="s">
        <v>1553</v>
      </c>
      <c r="E711" s="3" t="s">
        <v>2101</v>
      </c>
      <c r="F711" s="3" t="s">
        <v>155</v>
      </c>
      <c r="G711" s="3" t="s">
        <v>211</v>
      </c>
      <c r="H711" s="3" t="s">
        <v>20</v>
      </c>
      <c r="I711" s="3">
        <v>350</v>
      </c>
      <c r="J711" s="3" t="s">
        <v>179</v>
      </c>
      <c r="K711" s="3" t="s">
        <v>1</v>
      </c>
      <c r="L711" s="3" t="s">
        <v>66</v>
      </c>
      <c r="M711" s="4">
        <v>199900</v>
      </c>
      <c r="N711" s="5">
        <v>9.6999999999999993</v>
      </c>
      <c r="O711" s="4">
        <f t="shared" si="22"/>
        <v>19390.3</v>
      </c>
      <c r="P711" s="4">
        <f t="shared" si="23"/>
        <v>180509.7</v>
      </c>
      <c r="Q711" s="3" t="s">
        <v>34</v>
      </c>
      <c r="R711" s="3" t="s">
        <v>67</v>
      </c>
      <c r="S711" s="3" t="s">
        <v>68</v>
      </c>
      <c r="T711" s="3" t="s">
        <v>32</v>
      </c>
    </row>
    <row r="712" spans="1:20" ht="15" customHeight="1" x14ac:dyDescent="0.3">
      <c r="A712" s="3" t="s">
        <v>2102</v>
      </c>
      <c r="B712" s="3" t="s">
        <v>272</v>
      </c>
      <c r="C712" s="3" t="s">
        <v>0</v>
      </c>
      <c r="D712" s="3" t="s">
        <v>2103</v>
      </c>
      <c r="E712" s="3" t="s">
        <v>2104</v>
      </c>
      <c r="F712" s="3" t="s">
        <v>124</v>
      </c>
      <c r="G712" s="3" t="s">
        <v>88</v>
      </c>
      <c r="H712" s="3" t="s">
        <v>18</v>
      </c>
      <c r="I712" s="3">
        <v>125</v>
      </c>
      <c r="J712" s="3" t="s">
        <v>81</v>
      </c>
      <c r="K712" s="3" t="s">
        <v>5</v>
      </c>
      <c r="L712" s="3" t="s">
        <v>66</v>
      </c>
      <c r="M712" s="4">
        <v>94900</v>
      </c>
      <c r="N712" s="5">
        <v>13.1</v>
      </c>
      <c r="O712" s="4">
        <f t="shared" si="22"/>
        <v>12431.9</v>
      </c>
      <c r="P712" s="4">
        <f t="shared" si="23"/>
        <v>82468.100000000006</v>
      </c>
      <c r="Q712" s="3" t="s">
        <v>25</v>
      </c>
      <c r="R712" s="3" t="s">
        <v>67</v>
      </c>
      <c r="S712" s="3" t="s">
        <v>67</v>
      </c>
      <c r="T712" s="3" t="s">
        <v>29</v>
      </c>
    </row>
    <row r="713" spans="1:20" ht="15" customHeight="1" x14ac:dyDescent="0.3">
      <c r="A713" s="3" t="s">
        <v>2105</v>
      </c>
      <c r="B713" s="3" t="s">
        <v>289</v>
      </c>
      <c r="C713" s="3" t="s">
        <v>4</v>
      </c>
      <c r="D713" s="3" t="s">
        <v>1871</v>
      </c>
      <c r="E713" s="3" t="s">
        <v>2106</v>
      </c>
      <c r="F713" s="3" t="s">
        <v>155</v>
      </c>
      <c r="G713" s="3" t="s">
        <v>146</v>
      </c>
      <c r="H713" s="3" t="s">
        <v>18</v>
      </c>
      <c r="I713" s="3">
        <v>110</v>
      </c>
      <c r="J713" s="3" t="s">
        <v>119</v>
      </c>
      <c r="K713" s="3" t="s">
        <v>11</v>
      </c>
      <c r="L713" s="3" t="s">
        <v>136</v>
      </c>
      <c r="M713" s="4">
        <v>74900</v>
      </c>
      <c r="N713" s="5">
        <v>6.9</v>
      </c>
      <c r="O713" s="4">
        <f t="shared" si="22"/>
        <v>5168.1000000000004</v>
      </c>
      <c r="P713" s="4">
        <f t="shared" si="23"/>
        <v>69731.899999999994</v>
      </c>
      <c r="Q713" s="3" t="s">
        <v>36</v>
      </c>
      <c r="R713" s="3" t="s">
        <v>68</v>
      </c>
      <c r="S713" s="3" t="s">
        <v>67</v>
      </c>
      <c r="T713" s="3" t="s">
        <v>26</v>
      </c>
    </row>
    <row r="714" spans="1:20" ht="15" customHeight="1" x14ac:dyDescent="0.3">
      <c r="A714" s="3" t="s">
        <v>2107</v>
      </c>
      <c r="B714" s="3" t="s">
        <v>384</v>
      </c>
      <c r="C714" s="3" t="s">
        <v>15</v>
      </c>
      <c r="D714" s="3" t="s">
        <v>2108</v>
      </c>
      <c r="E714" s="3" t="s">
        <v>2109</v>
      </c>
      <c r="F714" s="3" t="s">
        <v>117</v>
      </c>
      <c r="G714" s="3" t="s">
        <v>324</v>
      </c>
      <c r="H714" s="3" t="s">
        <v>19</v>
      </c>
      <c r="I714" s="3">
        <v>149</v>
      </c>
      <c r="J714" s="3" t="s">
        <v>81</v>
      </c>
      <c r="K714" s="3" t="s">
        <v>11</v>
      </c>
      <c r="L714" s="3" t="s">
        <v>90</v>
      </c>
      <c r="M714" s="4">
        <v>119900</v>
      </c>
      <c r="N714" s="5">
        <v>7.6</v>
      </c>
      <c r="O714" s="4">
        <f t="shared" si="22"/>
        <v>9112.4</v>
      </c>
      <c r="P714" s="4">
        <f t="shared" si="23"/>
        <v>110787.6</v>
      </c>
      <c r="Q714" s="3" t="s">
        <v>34</v>
      </c>
      <c r="R714" s="3" t="s">
        <v>67</v>
      </c>
      <c r="S714" s="3" t="s">
        <v>68</v>
      </c>
      <c r="T714" s="3" t="s">
        <v>29</v>
      </c>
    </row>
    <row r="715" spans="1:20" ht="15" customHeight="1" x14ac:dyDescent="0.3">
      <c r="A715" s="3" t="s">
        <v>2110</v>
      </c>
      <c r="B715" s="3" t="s">
        <v>607</v>
      </c>
      <c r="C715" s="3" t="s">
        <v>15</v>
      </c>
      <c r="D715" s="3" t="s">
        <v>2111</v>
      </c>
      <c r="E715" s="3" t="s">
        <v>2112</v>
      </c>
      <c r="F715" s="3" t="s">
        <v>63</v>
      </c>
      <c r="G715" s="3" t="s">
        <v>211</v>
      </c>
      <c r="H715" s="3" t="s">
        <v>20</v>
      </c>
      <c r="I715" s="3">
        <v>350</v>
      </c>
      <c r="J715" s="3" t="s">
        <v>89</v>
      </c>
      <c r="K715" s="3" t="s">
        <v>1</v>
      </c>
      <c r="L715" s="3" t="s">
        <v>206</v>
      </c>
      <c r="M715" s="4">
        <v>199900</v>
      </c>
      <c r="N715" s="5">
        <v>7.6</v>
      </c>
      <c r="O715" s="4">
        <f t="shared" si="22"/>
        <v>15192.4</v>
      </c>
      <c r="P715" s="4">
        <f t="shared" si="23"/>
        <v>184707.6</v>
      </c>
      <c r="Q715" s="3" t="s">
        <v>36</v>
      </c>
      <c r="R715" s="3" t="s">
        <v>68</v>
      </c>
      <c r="S715" s="3" t="s">
        <v>68</v>
      </c>
      <c r="T715" s="3" t="s">
        <v>26</v>
      </c>
    </row>
    <row r="716" spans="1:20" ht="15" customHeight="1" x14ac:dyDescent="0.3">
      <c r="A716" s="3" t="s">
        <v>2113</v>
      </c>
      <c r="B716" s="3" t="s">
        <v>614</v>
      </c>
      <c r="C716" s="3" t="s">
        <v>13</v>
      </c>
      <c r="D716" s="3" t="s">
        <v>2114</v>
      </c>
      <c r="E716" s="3" t="s">
        <v>2115</v>
      </c>
      <c r="F716" s="3" t="s">
        <v>112</v>
      </c>
      <c r="G716" s="3" t="s">
        <v>324</v>
      </c>
      <c r="H716" s="3" t="s">
        <v>19</v>
      </c>
      <c r="I716" s="3">
        <v>149</v>
      </c>
      <c r="J716" s="3" t="s">
        <v>119</v>
      </c>
      <c r="K716" s="3" t="s">
        <v>7</v>
      </c>
      <c r="L716" s="3" t="s">
        <v>82</v>
      </c>
      <c r="M716" s="4">
        <v>119900</v>
      </c>
      <c r="N716" s="5">
        <v>6.2</v>
      </c>
      <c r="O716" s="4">
        <f t="shared" si="22"/>
        <v>7433.8</v>
      </c>
      <c r="P716" s="4">
        <f t="shared" si="23"/>
        <v>112466.2</v>
      </c>
      <c r="Q716" s="3" t="s">
        <v>36</v>
      </c>
      <c r="R716" s="3" t="s">
        <v>67</v>
      </c>
      <c r="S716" s="3" t="s">
        <v>67</v>
      </c>
      <c r="T716" s="3" t="s">
        <v>26</v>
      </c>
    </row>
    <row r="717" spans="1:20" ht="15" customHeight="1" x14ac:dyDescent="0.3">
      <c r="A717" s="3" t="s">
        <v>2116</v>
      </c>
      <c r="B717" s="3" t="s">
        <v>76</v>
      </c>
      <c r="C717" s="3" t="s">
        <v>4</v>
      </c>
      <c r="D717" s="3" t="s">
        <v>2117</v>
      </c>
      <c r="E717" s="3" t="s">
        <v>2118</v>
      </c>
      <c r="F717" s="3" t="s">
        <v>87</v>
      </c>
      <c r="G717" s="3" t="s">
        <v>88</v>
      </c>
      <c r="H717" s="3" t="s">
        <v>18</v>
      </c>
      <c r="I717" s="3">
        <v>125</v>
      </c>
      <c r="J717" s="3" t="s">
        <v>243</v>
      </c>
      <c r="K717" s="3" t="s">
        <v>7</v>
      </c>
      <c r="L717" s="3" t="s">
        <v>103</v>
      </c>
      <c r="M717" s="4">
        <v>94900</v>
      </c>
      <c r="N717" s="5">
        <v>10.7</v>
      </c>
      <c r="O717" s="4">
        <f t="shared" si="22"/>
        <v>10154.299999999999</v>
      </c>
      <c r="P717" s="4">
        <f t="shared" si="23"/>
        <v>84745.7</v>
      </c>
      <c r="Q717" s="3" t="s">
        <v>38</v>
      </c>
      <c r="R717" s="3" t="s">
        <v>68</v>
      </c>
      <c r="S717" s="3" t="s">
        <v>68</v>
      </c>
      <c r="T717" s="3" t="s">
        <v>29</v>
      </c>
    </row>
    <row r="718" spans="1:20" ht="15" customHeight="1" x14ac:dyDescent="0.3">
      <c r="A718" s="3" t="s">
        <v>2119</v>
      </c>
      <c r="B718" s="3" t="s">
        <v>131</v>
      </c>
      <c r="C718" s="3" t="s">
        <v>15</v>
      </c>
      <c r="D718" s="3" t="s">
        <v>199</v>
      </c>
      <c r="E718" s="3" t="s">
        <v>2120</v>
      </c>
      <c r="F718" s="3" t="s">
        <v>87</v>
      </c>
      <c r="G718" s="3" t="s">
        <v>169</v>
      </c>
      <c r="H718" s="3" t="s">
        <v>18</v>
      </c>
      <c r="I718" s="3">
        <v>162</v>
      </c>
      <c r="J718" s="3" t="s">
        <v>102</v>
      </c>
      <c r="K718" s="3" t="s">
        <v>1</v>
      </c>
      <c r="L718" s="3" t="s">
        <v>66</v>
      </c>
      <c r="M718" s="4">
        <v>124900</v>
      </c>
      <c r="N718" s="5">
        <v>8.6</v>
      </c>
      <c r="O718" s="4">
        <f t="shared" si="22"/>
        <v>10741.4</v>
      </c>
      <c r="P718" s="4">
        <f t="shared" si="23"/>
        <v>114158.6</v>
      </c>
      <c r="Q718" s="3" t="s">
        <v>25</v>
      </c>
      <c r="R718" s="3" t="s">
        <v>67</v>
      </c>
      <c r="S718" s="3" t="s">
        <v>67</v>
      </c>
      <c r="T718" s="3" t="s">
        <v>26</v>
      </c>
    </row>
    <row r="719" spans="1:20" ht="15" customHeight="1" x14ac:dyDescent="0.3">
      <c r="A719" s="3" t="s">
        <v>2121</v>
      </c>
      <c r="B719" s="3" t="s">
        <v>376</v>
      </c>
      <c r="C719" s="3" t="s">
        <v>8</v>
      </c>
      <c r="D719" s="3" t="s">
        <v>2122</v>
      </c>
      <c r="E719" s="3" t="s">
        <v>2123</v>
      </c>
      <c r="F719" s="3" t="s">
        <v>174</v>
      </c>
      <c r="G719" s="3" t="s">
        <v>316</v>
      </c>
      <c r="H719" s="3" t="s">
        <v>19</v>
      </c>
      <c r="I719" s="3">
        <v>150</v>
      </c>
      <c r="J719" s="3" t="s">
        <v>65</v>
      </c>
      <c r="K719" s="3" t="s">
        <v>1</v>
      </c>
      <c r="L719" s="3" t="s">
        <v>103</v>
      </c>
      <c r="M719" s="4">
        <v>109900</v>
      </c>
      <c r="N719" s="5">
        <v>10.1</v>
      </c>
      <c r="O719" s="4">
        <f t="shared" si="22"/>
        <v>11099.9</v>
      </c>
      <c r="P719" s="4">
        <f t="shared" si="23"/>
        <v>98800.1</v>
      </c>
      <c r="Q719" s="3" t="s">
        <v>31</v>
      </c>
      <c r="R719" s="3" t="s">
        <v>67</v>
      </c>
      <c r="S719" s="3" t="s">
        <v>68</v>
      </c>
      <c r="T719" s="3" t="s">
        <v>26</v>
      </c>
    </row>
    <row r="720" spans="1:20" ht="15" customHeight="1" x14ac:dyDescent="0.3">
      <c r="A720" s="3" t="s">
        <v>2124</v>
      </c>
      <c r="B720" s="3" t="s">
        <v>938</v>
      </c>
      <c r="C720" s="3" t="s">
        <v>6</v>
      </c>
      <c r="D720" s="3" t="s">
        <v>698</v>
      </c>
      <c r="E720" s="3" t="s">
        <v>2125</v>
      </c>
      <c r="F720" s="3" t="s">
        <v>79</v>
      </c>
      <c r="G720" s="3" t="s">
        <v>146</v>
      </c>
      <c r="H720" s="3" t="s">
        <v>18</v>
      </c>
      <c r="I720" s="3">
        <v>110</v>
      </c>
      <c r="J720" s="3" t="s">
        <v>164</v>
      </c>
      <c r="K720" s="3" t="s">
        <v>11</v>
      </c>
      <c r="L720" s="3" t="s">
        <v>136</v>
      </c>
      <c r="M720" s="4">
        <v>74900</v>
      </c>
      <c r="N720" s="5">
        <v>3.2</v>
      </c>
      <c r="O720" s="4">
        <f t="shared" si="22"/>
        <v>2396.8000000000002</v>
      </c>
      <c r="P720" s="4">
        <f t="shared" si="23"/>
        <v>72503.199999999997</v>
      </c>
      <c r="Q720" s="3" t="s">
        <v>28</v>
      </c>
      <c r="R720" s="3" t="s">
        <v>67</v>
      </c>
      <c r="S720" s="3" t="s">
        <v>68</v>
      </c>
      <c r="T720" s="3" t="s">
        <v>29</v>
      </c>
    </row>
    <row r="721" spans="1:20" ht="15" customHeight="1" x14ac:dyDescent="0.3">
      <c r="A721" s="3" t="s">
        <v>2126</v>
      </c>
      <c r="B721" s="3" t="s">
        <v>114</v>
      </c>
      <c r="C721" s="3" t="s">
        <v>4</v>
      </c>
      <c r="D721" s="3" t="s">
        <v>1748</v>
      </c>
      <c r="E721" s="3" t="s">
        <v>2127</v>
      </c>
      <c r="F721" s="3" t="s">
        <v>63</v>
      </c>
      <c r="G721" s="3" t="s">
        <v>201</v>
      </c>
      <c r="H721" s="3" t="s">
        <v>19</v>
      </c>
      <c r="I721" s="3">
        <v>160</v>
      </c>
      <c r="J721" s="3" t="s">
        <v>179</v>
      </c>
      <c r="K721" s="3" t="s">
        <v>7</v>
      </c>
      <c r="L721" s="3" t="s">
        <v>82</v>
      </c>
      <c r="M721" s="4">
        <v>129900</v>
      </c>
      <c r="N721" s="5">
        <v>13.6</v>
      </c>
      <c r="O721" s="4">
        <f t="shared" si="22"/>
        <v>17666.400000000001</v>
      </c>
      <c r="P721" s="4">
        <f t="shared" si="23"/>
        <v>112233.60000000001</v>
      </c>
      <c r="Q721" s="3" t="s">
        <v>28</v>
      </c>
      <c r="R721" s="3" t="s">
        <v>67</v>
      </c>
      <c r="S721" s="3" t="s">
        <v>68</v>
      </c>
      <c r="T721" s="3" t="s">
        <v>26</v>
      </c>
    </row>
    <row r="722" spans="1:20" ht="15" customHeight="1" x14ac:dyDescent="0.3">
      <c r="A722" s="3" t="s">
        <v>2128</v>
      </c>
      <c r="B722" s="3" t="s">
        <v>1067</v>
      </c>
      <c r="C722" s="3" t="s">
        <v>17</v>
      </c>
      <c r="D722" s="3" t="s">
        <v>1182</v>
      </c>
      <c r="E722" s="3" t="s">
        <v>2129</v>
      </c>
      <c r="F722" s="3" t="s">
        <v>63</v>
      </c>
      <c r="G722" s="3" t="s">
        <v>80</v>
      </c>
      <c r="H722" s="3" t="s">
        <v>22</v>
      </c>
      <c r="I722" s="3">
        <v>0</v>
      </c>
      <c r="J722" s="3" t="s">
        <v>102</v>
      </c>
      <c r="K722" s="3" t="s">
        <v>5</v>
      </c>
      <c r="L722" s="3" t="s">
        <v>136</v>
      </c>
      <c r="M722" s="4">
        <v>145000</v>
      </c>
      <c r="N722" s="5">
        <v>6.5</v>
      </c>
      <c r="O722" s="4">
        <f t="shared" si="22"/>
        <v>9425</v>
      </c>
      <c r="P722" s="4">
        <f t="shared" si="23"/>
        <v>135575</v>
      </c>
      <c r="Q722" s="3" t="s">
        <v>31</v>
      </c>
      <c r="R722" s="3" t="s">
        <v>68</v>
      </c>
      <c r="S722" s="3" t="s">
        <v>67</v>
      </c>
      <c r="T722" s="3" t="s">
        <v>32</v>
      </c>
    </row>
    <row r="723" spans="1:20" ht="15" customHeight="1" x14ac:dyDescent="0.3">
      <c r="A723" s="3" t="s">
        <v>2130</v>
      </c>
      <c r="B723" s="3" t="s">
        <v>138</v>
      </c>
      <c r="C723" s="3" t="s">
        <v>10</v>
      </c>
      <c r="D723" s="3" t="s">
        <v>585</v>
      </c>
      <c r="E723" s="3" t="s">
        <v>2131</v>
      </c>
      <c r="F723" s="3" t="s">
        <v>145</v>
      </c>
      <c r="G723" s="3" t="s">
        <v>201</v>
      </c>
      <c r="H723" s="3" t="s">
        <v>19</v>
      </c>
      <c r="I723" s="3">
        <v>160</v>
      </c>
      <c r="J723" s="3" t="s">
        <v>65</v>
      </c>
      <c r="K723" s="3" t="s">
        <v>7</v>
      </c>
      <c r="L723" s="3" t="s">
        <v>90</v>
      </c>
      <c r="M723" s="4">
        <v>129900</v>
      </c>
      <c r="N723" s="5">
        <v>6.7</v>
      </c>
      <c r="O723" s="4">
        <f t="shared" si="22"/>
        <v>8703.2999999999993</v>
      </c>
      <c r="P723" s="4">
        <f t="shared" si="23"/>
        <v>121196.7</v>
      </c>
      <c r="Q723" s="3" t="s">
        <v>40</v>
      </c>
      <c r="R723" s="3" t="s">
        <v>67</v>
      </c>
      <c r="S723" s="3" t="s">
        <v>68</v>
      </c>
      <c r="T723" s="3" t="s">
        <v>26</v>
      </c>
    </row>
    <row r="724" spans="1:20" ht="15" customHeight="1" x14ac:dyDescent="0.3">
      <c r="A724" s="3" t="s">
        <v>2132</v>
      </c>
      <c r="B724" s="3" t="s">
        <v>198</v>
      </c>
      <c r="C724" s="3" t="s">
        <v>2</v>
      </c>
      <c r="D724" s="3" t="s">
        <v>502</v>
      </c>
      <c r="E724" s="3" t="s">
        <v>2133</v>
      </c>
      <c r="F724" s="3" t="s">
        <v>117</v>
      </c>
      <c r="G724" s="3" t="s">
        <v>211</v>
      </c>
      <c r="H724" s="3" t="s">
        <v>20</v>
      </c>
      <c r="I724" s="3">
        <v>350</v>
      </c>
      <c r="J724" s="3" t="s">
        <v>81</v>
      </c>
      <c r="K724" s="3" t="s">
        <v>7</v>
      </c>
      <c r="L724" s="3" t="s">
        <v>82</v>
      </c>
      <c r="M724" s="4">
        <v>199900</v>
      </c>
      <c r="N724" s="5">
        <v>3.1</v>
      </c>
      <c r="O724" s="4">
        <f t="shared" si="22"/>
        <v>6196.9</v>
      </c>
      <c r="P724" s="4">
        <f t="shared" si="23"/>
        <v>193703.1</v>
      </c>
      <c r="Q724" s="3" t="s">
        <v>28</v>
      </c>
      <c r="R724" s="3" t="s">
        <v>67</v>
      </c>
      <c r="S724" s="3" t="s">
        <v>68</v>
      </c>
      <c r="T724" s="3" t="s">
        <v>26</v>
      </c>
    </row>
    <row r="725" spans="1:20" ht="15" customHeight="1" x14ac:dyDescent="0.3">
      <c r="A725" s="3" t="s">
        <v>2134</v>
      </c>
      <c r="B725" s="3" t="s">
        <v>579</v>
      </c>
      <c r="C725" s="3" t="s">
        <v>0</v>
      </c>
      <c r="D725" s="3" t="s">
        <v>2135</v>
      </c>
      <c r="E725" s="3" t="s">
        <v>2136</v>
      </c>
      <c r="F725" s="3" t="s">
        <v>155</v>
      </c>
      <c r="G725" s="3" t="s">
        <v>95</v>
      </c>
      <c r="H725" s="3" t="s">
        <v>22</v>
      </c>
      <c r="I725" s="3">
        <v>0</v>
      </c>
      <c r="J725" s="3" t="s">
        <v>96</v>
      </c>
      <c r="K725" s="3" t="s">
        <v>1</v>
      </c>
      <c r="L725" s="3" t="s">
        <v>82</v>
      </c>
      <c r="M725" s="4">
        <v>139999</v>
      </c>
      <c r="N725" s="5">
        <v>13</v>
      </c>
      <c r="O725" s="4">
        <f t="shared" si="22"/>
        <v>18199.87</v>
      </c>
      <c r="P725" s="4">
        <f t="shared" si="23"/>
        <v>121799.13</v>
      </c>
      <c r="Q725" s="3" t="s">
        <v>40</v>
      </c>
      <c r="R725" s="3" t="s">
        <v>67</v>
      </c>
      <c r="S725" s="3" t="s">
        <v>67</v>
      </c>
      <c r="T725" s="3" t="s">
        <v>26</v>
      </c>
    </row>
    <row r="726" spans="1:20" ht="15" customHeight="1" x14ac:dyDescent="0.3">
      <c r="A726" s="3" t="s">
        <v>2137</v>
      </c>
      <c r="B726" s="3" t="s">
        <v>573</v>
      </c>
      <c r="C726" s="3" t="s">
        <v>12</v>
      </c>
      <c r="D726" s="3" t="s">
        <v>2138</v>
      </c>
      <c r="E726" s="3" t="s">
        <v>2139</v>
      </c>
      <c r="F726" s="3" t="s">
        <v>87</v>
      </c>
      <c r="G726" s="3" t="s">
        <v>95</v>
      </c>
      <c r="H726" s="3" t="s">
        <v>22</v>
      </c>
      <c r="I726" s="3">
        <v>0</v>
      </c>
      <c r="J726" s="3" t="s">
        <v>65</v>
      </c>
      <c r="K726" s="3" t="s">
        <v>3</v>
      </c>
      <c r="L726" s="3" t="s">
        <v>74</v>
      </c>
      <c r="M726" s="4">
        <v>139999</v>
      </c>
      <c r="N726" s="5">
        <v>11.2</v>
      </c>
      <c r="O726" s="4">
        <f t="shared" si="22"/>
        <v>15679.887999999999</v>
      </c>
      <c r="P726" s="4">
        <f t="shared" si="23"/>
        <v>124319.11199999999</v>
      </c>
      <c r="Q726" s="3" t="s">
        <v>38</v>
      </c>
      <c r="R726" s="3" t="s">
        <v>67</v>
      </c>
      <c r="S726" s="3" t="s">
        <v>68</v>
      </c>
      <c r="T726" s="3" t="s">
        <v>26</v>
      </c>
    </row>
    <row r="727" spans="1:20" ht="15" customHeight="1" x14ac:dyDescent="0.3">
      <c r="A727" s="3" t="s">
        <v>2140</v>
      </c>
      <c r="B727" s="3" t="s">
        <v>198</v>
      </c>
      <c r="C727" s="3" t="s">
        <v>2</v>
      </c>
      <c r="D727" s="3" t="s">
        <v>1071</v>
      </c>
      <c r="E727" s="3" t="s">
        <v>2141</v>
      </c>
      <c r="F727" s="3" t="s">
        <v>79</v>
      </c>
      <c r="G727" s="3" t="s">
        <v>184</v>
      </c>
      <c r="H727" s="3" t="s">
        <v>18</v>
      </c>
      <c r="I727" s="3">
        <v>125</v>
      </c>
      <c r="J727" s="3" t="s">
        <v>81</v>
      </c>
      <c r="K727" s="3" t="s">
        <v>5</v>
      </c>
      <c r="L727" s="3" t="s">
        <v>97</v>
      </c>
      <c r="M727" s="4">
        <v>79900</v>
      </c>
      <c r="N727" s="5">
        <v>14.1</v>
      </c>
      <c r="O727" s="4">
        <f t="shared" si="22"/>
        <v>11265.9</v>
      </c>
      <c r="P727" s="4">
        <f t="shared" si="23"/>
        <v>68634.100000000006</v>
      </c>
      <c r="Q727" s="3" t="s">
        <v>34</v>
      </c>
      <c r="R727" s="3" t="s">
        <v>67</v>
      </c>
      <c r="S727" s="3" t="s">
        <v>68</v>
      </c>
      <c r="T727" s="3" t="s">
        <v>26</v>
      </c>
    </row>
    <row r="728" spans="1:20" ht="15" customHeight="1" x14ac:dyDescent="0.3">
      <c r="A728" s="3" t="s">
        <v>2142</v>
      </c>
      <c r="B728" s="3" t="s">
        <v>1067</v>
      </c>
      <c r="C728" s="3" t="s">
        <v>17</v>
      </c>
      <c r="D728" s="3" t="s">
        <v>2143</v>
      </c>
      <c r="E728" s="3" t="s">
        <v>2144</v>
      </c>
      <c r="F728" s="3" t="s">
        <v>145</v>
      </c>
      <c r="G728" s="3" t="s">
        <v>88</v>
      </c>
      <c r="H728" s="3" t="s">
        <v>18</v>
      </c>
      <c r="I728" s="3">
        <v>125</v>
      </c>
      <c r="J728" s="3" t="s">
        <v>179</v>
      </c>
      <c r="K728" s="3" t="s">
        <v>11</v>
      </c>
      <c r="L728" s="3" t="s">
        <v>66</v>
      </c>
      <c r="M728" s="4">
        <v>94900</v>
      </c>
      <c r="N728" s="5">
        <v>10.3</v>
      </c>
      <c r="O728" s="4">
        <f t="shared" si="22"/>
        <v>9774.7000000000007</v>
      </c>
      <c r="P728" s="4">
        <f t="shared" si="23"/>
        <v>85125.3</v>
      </c>
      <c r="Q728" s="3" t="s">
        <v>40</v>
      </c>
      <c r="R728" s="3" t="s">
        <v>67</v>
      </c>
      <c r="S728" s="3" t="s">
        <v>67</v>
      </c>
      <c r="T728" s="3" t="s">
        <v>26</v>
      </c>
    </row>
    <row r="729" spans="1:20" ht="15" customHeight="1" x14ac:dyDescent="0.3">
      <c r="A729" s="3" t="s">
        <v>2145</v>
      </c>
      <c r="B729" s="3" t="s">
        <v>621</v>
      </c>
      <c r="C729" s="3" t="s">
        <v>13</v>
      </c>
      <c r="D729" s="3" t="s">
        <v>2146</v>
      </c>
      <c r="E729" s="3" t="s">
        <v>2147</v>
      </c>
      <c r="F729" s="3" t="s">
        <v>112</v>
      </c>
      <c r="G729" s="3" t="s">
        <v>73</v>
      </c>
      <c r="H729" s="3" t="s">
        <v>21</v>
      </c>
      <c r="I729" s="3">
        <v>110</v>
      </c>
      <c r="J729" s="3" t="s">
        <v>129</v>
      </c>
      <c r="K729" s="3" t="s">
        <v>7</v>
      </c>
      <c r="L729" s="3" t="s">
        <v>103</v>
      </c>
      <c r="M729" s="4">
        <v>79900</v>
      </c>
      <c r="N729" s="5">
        <v>6.6</v>
      </c>
      <c r="O729" s="4">
        <f t="shared" si="22"/>
        <v>5273.4</v>
      </c>
      <c r="P729" s="4">
        <f t="shared" si="23"/>
        <v>74626.600000000006</v>
      </c>
      <c r="Q729" s="3" t="s">
        <v>36</v>
      </c>
      <c r="R729" s="3" t="s">
        <v>67</v>
      </c>
      <c r="S729" s="3" t="s">
        <v>68</v>
      </c>
      <c r="T729" s="3" t="s">
        <v>29</v>
      </c>
    </row>
    <row r="730" spans="1:20" ht="15" customHeight="1" x14ac:dyDescent="0.3">
      <c r="A730" s="3" t="s">
        <v>2148</v>
      </c>
      <c r="B730" s="3" t="s">
        <v>60</v>
      </c>
      <c r="C730" s="3" t="s">
        <v>16</v>
      </c>
      <c r="D730" s="3" t="s">
        <v>2149</v>
      </c>
      <c r="E730" s="3" t="s">
        <v>2150</v>
      </c>
      <c r="F730" s="3" t="s">
        <v>155</v>
      </c>
      <c r="G730" s="3" t="s">
        <v>146</v>
      </c>
      <c r="H730" s="3" t="s">
        <v>18</v>
      </c>
      <c r="I730" s="3">
        <v>110</v>
      </c>
      <c r="J730" s="3" t="s">
        <v>164</v>
      </c>
      <c r="K730" s="3" t="s">
        <v>11</v>
      </c>
      <c r="L730" s="3" t="s">
        <v>66</v>
      </c>
      <c r="M730" s="4">
        <v>74900</v>
      </c>
      <c r="N730" s="5">
        <v>13</v>
      </c>
      <c r="O730" s="4">
        <f t="shared" si="22"/>
        <v>9737</v>
      </c>
      <c r="P730" s="4">
        <f t="shared" si="23"/>
        <v>65163</v>
      </c>
      <c r="Q730" s="3" t="s">
        <v>34</v>
      </c>
      <c r="R730" s="3" t="s">
        <v>67</v>
      </c>
      <c r="S730" s="3" t="s">
        <v>68</v>
      </c>
      <c r="T730" s="3" t="s">
        <v>29</v>
      </c>
    </row>
    <row r="731" spans="1:20" ht="15" customHeight="1" x14ac:dyDescent="0.3">
      <c r="A731" s="3" t="s">
        <v>2151</v>
      </c>
      <c r="B731" s="3" t="s">
        <v>847</v>
      </c>
      <c r="C731" s="3" t="s">
        <v>13</v>
      </c>
      <c r="D731" s="3" t="s">
        <v>2152</v>
      </c>
      <c r="E731" s="3" t="s">
        <v>2153</v>
      </c>
      <c r="F731" s="3" t="s">
        <v>117</v>
      </c>
      <c r="G731" s="3" t="s">
        <v>211</v>
      </c>
      <c r="H731" s="3" t="s">
        <v>20</v>
      </c>
      <c r="I731" s="3">
        <v>350</v>
      </c>
      <c r="J731" s="3" t="s">
        <v>89</v>
      </c>
      <c r="K731" s="3" t="s">
        <v>3</v>
      </c>
      <c r="L731" s="3" t="s">
        <v>136</v>
      </c>
      <c r="M731" s="4">
        <v>199900</v>
      </c>
      <c r="N731" s="5">
        <v>5.2</v>
      </c>
      <c r="O731" s="4">
        <f t="shared" si="22"/>
        <v>10394.799999999999</v>
      </c>
      <c r="P731" s="4">
        <f t="shared" si="23"/>
        <v>189505.2</v>
      </c>
      <c r="Q731" s="3" t="s">
        <v>38</v>
      </c>
      <c r="R731" s="3" t="s">
        <v>68</v>
      </c>
      <c r="S731" s="3" t="s">
        <v>67</v>
      </c>
      <c r="T731" s="3" t="s">
        <v>32</v>
      </c>
    </row>
    <row r="732" spans="1:20" ht="15" customHeight="1" x14ac:dyDescent="0.3">
      <c r="A732" s="3" t="s">
        <v>2154</v>
      </c>
      <c r="B732" s="3" t="s">
        <v>493</v>
      </c>
      <c r="C732" s="3" t="s">
        <v>14</v>
      </c>
      <c r="D732" s="3" t="s">
        <v>2155</v>
      </c>
      <c r="E732" s="3" t="s">
        <v>2156</v>
      </c>
      <c r="F732" s="3" t="s">
        <v>145</v>
      </c>
      <c r="G732" s="3" t="s">
        <v>156</v>
      </c>
      <c r="H732" s="3" t="s">
        <v>21</v>
      </c>
      <c r="I732" s="3">
        <v>125</v>
      </c>
      <c r="J732" s="3" t="s">
        <v>164</v>
      </c>
      <c r="K732" s="3" t="s">
        <v>9</v>
      </c>
      <c r="L732" s="3" t="s">
        <v>90</v>
      </c>
      <c r="M732" s="4">
        <v>88900</v>
      </c>
      <c r="N732" s="5">
        <v>11.8</v>
      </c>
      <c r="O732" s="4">
        <f t="shared" si="22"/>
        <v>10490.2</v>
      </c>
      <c r="P732" s="4">
        <f t="shared" si="23"/>
        <v>78409.8</v>
      </c>
      <c r="Q732" s="3" t="s">
        <v>38</v>
      </c>
      <c r="R732" s="3" t="s">
        <v>67</v>
      </c>
      <c r="S732" s="3" t="s">
        <v>68</v>
      </c>
      <c r="T732" s="3" t="s">
        <v>26</v>
      </c>
    </row>
    <row r="733" spans="1:20" ht="15" customHeight="1" x14ac:dyDescent="0.3">
      <c r="A733" s="3" t="s">
        <v>2157</v>
      </c>
      <c r="B733" s="3" t="s">
        <v>676</v>
      </c>
      <c r="C733" s="3" t="s">
        <v>15</v>
      </c>
      <c r="D733" s="3" t="s">
        <v>854</v>
      </c>
      <c r="E733" s="3" t="s">
        <v>2158</v>
      </c>
      <c r="F733" s="3" t="s">
        <v>117</v>
      </c>
      <c r="G733" s="3" t="s">
        <v>156</v>
      </c>
      <c r="H733" s="3" t="s">
        <v>21</v>
      </c>
      <c r="I733" s="3">
        <v>125</v>
      </c>
      <c r="J733" s="3" t="s">
        <v>65</v>
      </c>
      <c r="K733" s="3" t="s">
        <v>11</v>
      </c>
      <c r="L733" s="3" t="s">
        <v>103</v>
      </c>
      <c r="M733" s="4">
        <v>88900</v>
      </c>
      <c r="N733" s="5">
        <v>14.3</v>
      </c>
      <c r="O733" s="4">
        <f t="shared" si="22"/>
        <v>12712.7</v>
      </c>
      <c r="P733" s="4">
        <f t="shared" si="23"/>
        <v>76187.3</v>
      </c>
      <c r="Q733" s="3" t="s">
        <v>34</v>
      </c>
      <c r="R733" s="3" t="s">
        <v>67</v>
      </c>
      <c r="S733" s="3" t="s">
        <v>67</v>
      </c>
      <c r="T733" s="3" t="s">
        <v>26</v>
      </c>
    </row>
    <row r="734" spans="1:20" ht="15" customHeight="1" x14ac:dyDescent="0.3">
      <c r="A734" s="3" t="s">
        <v>2159</v>
      </c>
      <c r="B734" s="3" t="s">
        <v>873</v>
      </c>
      <c r="C734" s="3" t="s">
        <v>6</v>
      </c>
      <c r="D734" s="3" t="s">
        <v>2160</v>
      </c>
      <c r="E734" s="3" t="s">
        <v>2161</v>
      </c>
      <c r="F734" s="3" t="s">
        <v>124</v>
      </c>
      <c r="G734" s="3" t="s">
        <v>88</v>
      </c>
      <c r="H734" s="3" t="s">
        <v>18</v>
      </c>
      <c r="I734" s="3">
        <v>125</v>
      </c>
      <c r="J734" s="3" t="s">
        <v>89</v>
      </c>
      <c r="K734" s="3" t="s">
        <v>1</v>
      </c>
      <c r="L734" s="3" t="s">
        <v>74</v>
      </c>
      <c r="M734" s="4">
        <v>94900</v>
      </c>
      <c r="N734" s="5">
        <v>10.4</v>
      </c>
      <c r="O734" s="4">
        <f t="shared" si="22"/>
        <v>9869.6</v>
      </c>
      <c r="P734" s="4">
        <f t="shared" si="23"/>
        <v>85030.399999999994</v>
      </c>
      <c r="Q734" s="3" t="s">
        <v>34</v>
      </c>
      <c r="R734" s="3" t="s">
        <v>67</v>
      </c>
      <c r="S734" s="3" t="s">
        <v>68</v>
      </c>
      <c r="T734" s="3" t="s">
        <v>26</v>
      </c>
    </row>
    <row r="735" spans="1:20" ht="15" customHeight="1" x14ac:dyDescent="0.3">
      <c r="A735" s="3" t="s">
        <v>2162</v>
      </c>
      <c r="B735" s="3" t="s">
        <v>421</v>
      </c>
      <c r="C735" s="3" t="s">
        <v>15</v>
      </c>
      <c r="D735" s="3" t="s">
        <v>2163</v>
      </c>
      <c r="E735" s="3" t="s">
        <v>2164</v>
      </c>
      <c r="F735" s="3" t="s">
        <v>79</v>
      </c>
      <c r="G735" s="3" t="s">
        <v>211</v>
      </c>
      <c r="H735" s="3" t="s">
        <v>20</v>
      </c>
      <c r="I735" s="3">
        <v>350</v>
      </c>
      <c r="J735" s="3" t="s">
        <v>96</v>
      </c>
      <c r="K735" s="3" t="s">
        <v>3</v>
      </c>
      <c r="L735" s="3" t="s">
        <v>206</v>
      </c>
      <c r="M735" s="4">
        <v>199900</v>
      </c>
      <c r="N735" s="5">
        <v>5.3</v>
      </c>
      <c r="O735" s="4">
        <f t="shared" si="22"/>
        <v>10594.7</v>
      </c>
      <c r="P735" s="4">
        <f t="shared" si="23"/>
        <v>189305.3</v>
      </c>
      <c r="Q735" s="3" t="s">
        <v>31</v>
      </c>
      <c r="R735" s="3" t="s">
        <v>68</v>
      </c>
      <c r="S735" s="3" t="s">
        <v>68</v>
      </c>
      <c r="T735" s="3" t="s">
        <v>26</v>
      </c>
    </row>
    <row r="736" spans="1:20" ht="15" customHeight="1" x14ac:dyDescent="0.3">
      <c r="A736" s="3" t="s">
        <v>2165</v>
      </c>
      <c r="B736" s="3" t="s">
        <v>794</v>
      </c>
      <c r="C736" s="3" t="s">
        <v>8</v>
      </c>
      <c r="D736" s="3" t="s">
        <v>777</v>
      </c>
      <c r="E736" s="3" t="s">
        <v>2166</v>
      </c>
      <c r="F736" s="3" t="s">
        <v>63</v>
      </c>
      <c r="G736" s="3" t="s">
        <v>64</v>
      </c>
      <c r="H736" s="3" t="s">
        <v>19</v>
      </c>
      <c r="I736" s="3">
        <v>200</v>
      </c>
      <c r="J736" s="3" t="s">
        <v>164</v>
      </c>
      <c r="K736" s="3" t="s">
        <v>11</v>
      </c>
      <c r="L736" s="3" t="s">
        <v>103</v>
      </c>
      <c r="M736" s="4">
        <v>199900</v>
      </c>
      <c r="N736" s="5">
        <v>7.2</v>
      </c>
      <c r="O736" s="4">
        <f t="shared" si="22"/>
        <v>14392.8</v>
      </c>
      <c r="P736" s="4">
        <f t="shared" si="23"/>
        <v>185507.20000000001</v>
      </c>
      <c r="Q736" s="3" t="s">
        <v>34</v>
      </c>
      <c r="R736" s="3" t="s">
        <v>67</v>
      </c>
      <c r="S736" s="3" t="s">
        <v>68</v>
      </c>
      <c r="T736" s="3" t="s">
        <v>26</v>
      </c>
    </row>
    <row r="737" spans="1:20" ht="15" customHeight="1" x14ac:dyDescent="0.3">
      <c r="A737" s="3" t="s">
        <v>2167</v>
      </c>
      <c r="B737" s="3" t="s">
        <v>607</v>
      </c>
      <c r="C737" s="3" t="s">
        <v>15</v>
      </c>
      <c r="D737" s="3" t="s">
        <v>2168</v>
      </c>
      <c r="E737" s="3" t="s">
        <v>2169</v>
      </c>
      <c r="F737" s="3" t="s">
        <v>117</v>
      </c>
      <c r="G737" s="3" t="s">
        <v>95</v>
      </c>
      <c r="H737" s="3" t="s">
        <v>22</v>
      </c>
      <c r="I737" s="3">
        <v>0</v>
      </c>
      <c r="J737" s="3" t="s">
        <v>164</v>
      </c>
      <c r="K737" s="3" t="s">
        <v>5</v>
      </c>
      <c r="L737" s="3" t="s">
        <v>82</v>
      </c>
      <c r="M737" s="4">
        <v>139999</v>
      </c>
      <c r="N737" s="5">
        <v>11.3</v>
      </c>
      <c r="O737" s="4">
        <f t="shared" si="22"/>
        <v>15819.887000000002</v>
      </c>
      <c r="P737" s="4">
        <f t="shared" si="23"/>
        <v>124179.113</v>
      </c>
      <c r="Q737" s="3" t="s">
        <v>38</v>
      </c>
      <c r="R737" s="3" t="s">
        <v>67</v>
      </c>
      <c r="S737" s="3" t="s">
        <v>68</v>
      </c>
      <c r="T737" s="3" t="s">
        <v>29</v>
      </c>
    </row>
    <row r="738" spans="1:20" ht="15" customHeight="1" x14ac:dyDescent="0.3">
      <c r="A738" s="3" t="s">
        <v>2170</v>
      </c>
      <c r="B738" s="3" t="s">
        <v>334</v>
      </c>
      <c r="C738" s="3" t="s">
        <v>0</v>
      </c>
      <c r="D738" s="3" t="s">
        <v>2171</v>
      </c>
      <c r="E738" s="3" t="s">
        <v>2172</v>
      </c>
      <c r="F738" s="3" t="s">
        <v>87</v>
      </c>
      <c r="G738" s="3" t="s">
        <v>95</v>
      </c>
      <c r="H738" s="3" t="s">
        <v>22</v>
      </c>
      <c r="I738" s="3">
        <v>0</v>
      </c>
      <c r="J738" s="3" t="s">
        <v>81</v>
      </c>
      <c r="K738" s="3" t="s">
        <v>9</v>
      </c>
      <c r="L738" s="3" t="s">
        <v>90</v>
      </c>
      <c r="M738" s="4">
        <v>139999</v>
      </c>
      <c r="N738" s="5">
        <v>14.9</v>
      </c>
      <c r="O738" s="4">
        <f t="shared" si="22"/>
        <v>20859.851000000002</v>
      </c>
      <c r="P738" s="4">
        <f t="shared" si="23"/>
        <v>119139.149</v>
      </c>
      <c r="Q738" s="3" t="s">
        <v>38</v>
      </c>
      <c r="R738" s="3" t="s">
        <v>67</v>
      </c>
      <c r="S738" s="3" t="s">
        <v>68</v>
      </c>
      <c r="T738" s="3" t="s">
        <v>32</v>
      </c>
    </row>
    <row r="739" spans="1:20" ht="15" customHeight="1" x14ac:dyDescent="0.3">
      <c r="A739" s="3" t="s">
        <v>2173</v>
      </c>
      <c r="B739" s="3" t="s">
        <v>234</v>
      </c>
      <c r="C739" s="3" t="s">
        <v>14</v>
      </c>
      <c r="D739" s="3" t="s">
        <v>1849</v>
      </c>
      <c r="E739" s="3" t="s">
        <v>2174</v>
      </c>
      <c r="F739" s="3" t="s">
        <v>145</v>
      </c>
      <c r="G739" s="3" t="s">
        <v>316</v>
      </c>
      <c r="H739" s="3" t="s">
        <v>19</v>
      </c>
      <c r="I739" s="3">
        <v>150</v>
      </c>
      <c r="J739" s="3" t="s">
        <v>102</v>
      </c>
      <c r="K739" s="3" t="s">
        <v>11</v>
      </c>
      <c r="L739" s="3" t="s">
        <v>66</v>
      </c>
      <c r="M739" s="4">
        <v>109900</v>
      </c>
      <c r="N739" s="5">
        <v>10.8</v>
      </c>
      <c r="O739" s="4">
        <f t="shared" si="22"/>
        <v>11869.2</v>
      </c>
      <c r="P739" s="4">
        <f t="shared" si="23"/>
        <v>98030.8</v>
      </c>
      <c r="Q739" s="3" t="s">
        <v>36</v>
      </c>
      <c r="R739" s="3" t="s">
        <v>67</v>
      </c>
      <c r="S739" s="3" t="s">
        <v>68</v>
      </c>
      <c r="T739" s="3" t="s">
        <v>26</v>
      </c>
    </row>
    <row r="740" spans="1:20" ht="15" customHeight="1" x14ac:dyDescent="0.3">
      <c r="A740" s="3" t="s">
        <v>2175</v>
      </c>
      <c r="B740" s="3" t="s">
        <v>594</v>
      </c>
      <c r="C740" s="3" t="s">
        <v>15</v>
      </c>
      <c r="D740" s="3" t="s">
        <v>2176</v>
      </c>
      <c r="E740" s="3" t="s">
        <v>2177</v>
      </c>
      <c r="F740" s="3" t="s">
        <v>145</v>
      </c>
      <c r="G740" s="3" t="s">
        <v>73</v>
      </c>
      <c r="H740" s="3" t="s">
        <v>21</v>
      </c>
      <c r="I740" s="3">
        <v>110</v>
      </c>
      <c r="J740" s="3" t="s">
        <v>119</v>
      </c>
      <c r="K740" s="3" t="s">
        <v>7</v>
      </c>
      <c r="L740" s="3" t="s">
        <v>66</v>
      </c>
      <c r="M740" s="4">
        <v>79900</v>
      </c>
      <c r="N740" s="5">
        <v>9.6999999999999993</v>
      </c>
      <c r="O740" s="4">
        <f t="shared" si="22"/>
        <v>7750.3</v>
      </c>
      <c r="P740" s="4">
        <f t="shared" si="23"/>
        <v>72149.7</v>
      </c>
      <c r="Q740" s="3" t="s">
        <v>34</v>
      </c>
      <c r="R740" s="3" t="s">
        <v>67</v>
      </c>
      <c r="S740" s="3" t="s">
        <v>68</v>
      </c>
      <c r="T740" s="3" t="s">
        <v>29</v>
      </c>
    </row>
    <row r="741" spans="1:20" ht="15" customHeight="1" x14ac:dyDescent="0.3">
      <c r="A741" s="3" t="s">
        <v>2178</v>
      </c>
      <c r="B741" s="3" t="s">
        <v>410</v>
      </c>
      <c r="C741" s="3" t="s">
        <v>17</v>
      </c>
      <c r="D741" s="3" t="s">
        <v>1878</v>
      </c>
      <c r="E741" s="3" t="s">
        <v>2179</v>
      </c>
      <c r="F741" s="3" t="s">
        <v>134</v>
      </c>
      <c r="G741" s="3" t="s">
        <v>256</v>
      </c>
      <c r="H741" s="3" t="s">
        <v>21</v>
      </c>
      <c r="I741" s="3">
        <v>110</v>
      </c>
      <c r="J741" s="3" t="s">
        <v>243</v>
      </c>
      <c r="K741" s="3" t="s">
        <v>9</v>
      </c>
      <c r="L741" s="3" t="s">
        <v>90</v>
      </c>
      <c r="M741" s="4">
        <v>80900</v>
      </c>
      <c r="N741" s="5">
        <v>10</v>
      </c>
      <c r="O741" s="4">
        <f t="shared" si="22"/>
        <v>8090</v>
      </c>
      <c r="P741" s="4">
        <f t="shared" si="23"/>
        <v>72810</v>
      </c>
      <c r="Q741" s="3" t="s">
        <v>36</v>
      </c>
      <c r="R741" s="3" t="s">
        <v>67</v>
      </c>
      <c r="S741" s="3" t="s">
        <v>67</v>
      </c>
      <c r="T741" s="3" t="s">
        <v>26</v>
      </c>
    </row>
    <row r="742" spans="1:20" ht="15" customHeight="1" x14ac:dyDescent="0.3">
      <c r="A742" s="3" t="s">
        <v>2180</v>
      </c>
      <c r="B742" s="3" t="s">
        <v>573</v>
      </c>
      <c r="C742" s="3" t="s">
        <v>12</v>
      </c>
      <c r="D742" s="3" t="s">
        <v>2181</v>
      </c>
      <c r="E742" s="3" t="s">
        <v>2182</v>
      </c>
      <c r="F742" s="3" t="s">
        <v>79</v>
      </c>
      <c r="G742" s="3" t="s">
        <v>184</v>
      </c>
      <c r="H742" s="3" t="s">
        <v>18</v>
      </c>
      <c r="I742" s="3">
        <v>125</v>
      </c>
      <c r="J742" s="3" t="s">
        <v>119</v>
      </c>
      <c r="K742" s="3" t="s">
        <v>7</v>
      </c>
      <c r="L742" s="3" t="s">
        <v>103</v>
      </c>
      <c r="M742" s="4">
        <v>79900</v>
      </c>
      <c r="N742" s="5">
        <v>14</v>
      </c>
      <c r="O742" s="4">
        <f t="shared" si="22"/>
        <v>11186</v>
      </c>
      <c r="P742" s="4">
        <f t="shared" si="23"/>
        <v>68714</v>
      </c>
      <c r="Q742" s="3" t="s">
        <v>25</v>
      </c>
      <c r="R742" s="3" t="s">
        <v>68</v>
      </c>
      <c r="S742" s="3" t="s">
        <v>68</v>
      </c>
      <c r="T742" s="3" t="s">
        <v>32</v>
      </c>
    </row>
    <row r="743" spans="1:20" ht="15" customHeight="1" x14ac:dyDescent="0.3">
      <c r="A743" s="3" t="s">
        <v>2183</v>
      </c>
      <c r="B743" s="3" t="s">
        <v>293</v>
      </c>
      <c r="C743" s="3" t="s">
        <v>16</v>
      </c>
      <c r="D743" s="3" t="s">
        <v>2184</v>
      </c>
      <c r="E743" s="3" t="s">
        <v>2185</v>
      </c>
      <c r="F743" s="3" t="s">
        <v>117</v>
      </c>
      <c r="G743" s="3" t="s">
        <v>256</v>
      </c>
      <c r="H743" s="3" t="s">
        <v>21</v>
      </c>
      <c r="I743" s="3">
        <v>110</v>
      </c>
      <c r="J743" s="3" t="s">
        <v>81</v>
      </c>
      <c r="K743" s="3" t="s">
        <v>9</v>
      </c>
      <c r="L743" s="3" t="s">
        <v>97</v>
      </c>
      <c r="M743" s="4">
        <v>80900</v>
      </c>
      <c r="N743" s="5">
        <v>8.4</v>
      </c>
      <c r="O743" s="4">
        <f t="shared" si="22"/>
        <v>6795.6</v>
      </c>
      <c r="P743" s="4">
        <f t="shared" si="23"/>
        <v>74104.399999999994</v>
      </c>
      <c r="Q743" s="3" t="s">
        <v>34</v>
      </c>
      <c r="R743" s="3" t="s">
        <v>68</v>
      </c>
      <c r="S743" s="3" t="s">
        <v>67</v>
      </c>
      <c r="T743" s="3" t="s">
        <v>26</v>
      </c>
    </row>
    <row r="744" spans="1:20" ht="15" customHeight="1" x14ac:dyDescent="0.3">
      <c r="A744" s="3" t="s">
        <v>2186</v>
      </c>
      <c r="B744" s="3" t="s">
        <v>395</v>
      </c>
      <c r="C744" s="3" t="s">
        <v>14</v>
      </c>
      <c r="D744" s="3" t="s">
        <v>648</v>
      </c>
      <c r="E744" s="3" t="s">
        <v>2187</v>
      </c>
      <c r="F744" s="3" t="s">
        <v>145</v>
      </c>
      <c r="G744" s="3" t="s">
        <v>256</v>
      </c>
      <c r="H744" s="3" t="s">
        <v>21</v>
      </c>
      <c r="I744" s="3">
        <v>110</v>
      </c>
      <c r="J744" s="3" t="s">
        <v>96</v>
      </c>
      <c r="K744" s="3" t="s">
        <v>3</v>
      </c>
      <c r="L744" s="3" t="s">
        <v>97</v>
      </c>
      <c r="M744" s="4">
        <v>80900</v>
      </c>
      <c r="N744" s="5">
        <v>13.3</v>
      </c>
      <c r="O744" s="4">
        <f t="shared" si="22"/>
        <v>10759.7</v>
      </c>
      <c r="P744" s="4">
        <f t="shared" si="23"/>
        <v>70140.3</v>
      </c>
      <c r="Q744" s="3" t="s">
        <v>36</v>
      </c>
      <c r="R744" s="3" t="s">
        <v>68</v>
      </c>
      <c r="S744" s="3" t="s">
        <v>67</v>
      </c>
      <c r="T744" s="3" t="s">
        <v>26</v>
      </c>
    </row>
    <row r="745" spans="1:20" ht="15" customHeight="1" x14ac:dyDescent="0.3">
      <c r="A745" s="3" t="s">
        <v>2188</v>
      </c>
      <c r="B745" s="3" t="s">
        <v>1067</v>
      </c>
      <c r="C745" s="3" t="s">
        <v>17</v>
      </c>
      <c r="D745" s="3" t="s">
        <v>2189</v>
      </c>
      <c r="E745" s="3" t="s">
        <v>2190</v>
      </c>
      <c r="F745" s="3" t="s">
        <v>124</v>
      </c>
      <c r="G745" s="3" t="s">
        <v>73</v>
      </c>
      <c r="H745" s="3" t="s">
        <v>21</v>
      </c>
      <c r="I745" s="3">
        <v>110</v>
      </c>
      <c r="J745" s="3" t="s">
        <v>129</v>
      </c>
      <c r="K745" s="3" t="s">
        <v>1</v>
      </c>
      <c r="L745" s="3" t="s">
        <v>82</v>
      </c>
      <c r="M745" s="4">
        <v>79900</v>
      </c>
      <c r="N745" s="5">
        <v>13.3</v>
      </c>
      <c r="O745" s="4">
        <f t="shared" si="22"/>
        <v>10626.7</v>
      </c>
      <c r="P745" s="4">
        <f t="shared" si="23"/>
        <v>69273.3</v>
      </c>
      <c r="Q745" s="3" t="s">
        <v>34</v>
      </c>
      <c r="R745" s="3" t="s">
        <v>67</v>
      </c>
      <c r="S745" s="3" t="s">
        <v>68</v>
      </c>
      <c r="T745" s="3" t="s">
        <v>26</v>
      </c>
    </row>
    <row r="746" spans="1:20" ht="15" customHeight="1" x14ac:dyDescent="0.3">
      <c r="A746" s="3" t="s">
        <v>2191</v>
      </c>
      <c r="B746" s="3" t="s">
        <v>395</v>
      </c>
      <c r="C746" s="3" t="s">
        <v>14</v>
      </c>
      <c r="D746" s="3" t="s">
        <v>2192</v>
      </c>
      <c r="E746" s="3" t="s">
        <v>2193</v>
      </c>
      <c r="F746" s="3" t="s">
        <v>155</v>
      </c>
      <c r="G746" s="3" t="s">
        <v>189</v>
      </c>
      <c r="H746" s="3" t="s">
        <v>18</v>
      </c>
      <c r="I746" s="3">
        <v>100</v>
      </c>
      <c r="J746" s="3" t="s">
        <v>179</v>
      </c>
      <c r="K746" s="3" t="s">
        <v>7</v>
      </c>
      <c r="L746" s="3" t="s">
        <v>82</v>
      </c>
      <c r="M746" s="4">
        <v>72900</v>
      </c>
      <c r="N746" s="5">
        <v>15</v>
      </c>
      <c r="O746" s="4">
        <f t="shared" si="22"/>
        <v>10935</v>
      </c>
      <c r="P746" s="4">
        <f t="shared" si="23"/>
        <v>61965</v>
      </c>
      <c r="Q746" s="3" t="s">
        <v>36</v>
      </c>
      <c r="R746" s="3" t="s">
        <v>67</v>
      </c>
      <c r="S746" s="3" t="s">
        <v>68</v>
      </c>
      <c r="T746" s="3" t="s">
        <v>26</v>
      </c>
    </row>
    <row r="747" spans="1:20" ht="15" customHeight="1" x14ac:dyDescent="0.3">
      <c r="A747" s="3" t="s">
        <v>2194</v>
      </c>
      <c r="B747" s="3" t="s">
        <v>158</v>
      </c>
      <c r="C747" s="3" t="s">
        <v>10</v>
      </c>
      <c r="D747" s="3" t="s">
        <v>591</v>
      </c>
      <c r="E747" s="3" t="s">
        <v>2195</v>
      </c>
      <c r="F747" s="3" t="s">
        <v>87</v>
      </c>
      <c r="G747" s="3" t="s">
        <v>211</v>
      </c>
      <c r="H747" s="3" t="s">
        <v>20</v>
      </c>
      <c r="I747" s="3">
        <v>350</v>
      </c>
      <c r="J747" s="3" t="s">
        <v>65</v>
      </c>
      <c r="K747" s="3" t="s">
        <v>11</v>
      </c>
      <c r="L747" s="3" t="s">
        <v>97</v>
      </c>
      <c r="M747" s="4">
        <v>199900</v>
      </c>
      <c r="N747" s="5">
        <v>13.8</v>
      </c>
      <c r="O747" s="4">
        <f t="shared" si="22"/>
        <v>27586.2</v>
      </c>
      <c r="P747" s="4">
        <f t="shared" si="23"/>
        <v>172313.8</v>
      </c>
      <c r="Q747" s="3" t="s">
        <v>34</v>
      </c>
      <c r="R747" s="3" t="s">
        <v>67</v>
      </c>
      <c r="S747" s="3" t="s">
        <v>68</v>
      </c>
      <c r="T747" s="3" t="s">
        <v>32</v>
      </c>
    </row>
    <row r="748" spans="1:20" ht="15" customHeight="1" x14ac:dyDescent="0.3">
      <c r="A748" s="3" t="s">
        <v>2196</v>
      </c>
      <c r="B748" s="3" t="s">
        <v>114</v>
      </c>
      <c r="C748" s="3" t="s">
        <v>4</v>
      </c>
      <c r="D748" s="3" t="s">
        <v>449</v>
      </c>
      <c r="E748" s="3" t="s">
        <v>2197</v>
      </c>
      <c r="F748" s="3" t="s">
        <v>174</v>
      </c>
      <c r="G748" s="3" t="s">
        <v>256</v>
      </c>
      <c r="H748" s="3" t="s">
        <v>21</v>
      </c>
      <c r="I748" s="3">
        <v>110</v>
      </c>
      <c r="J748" s="3" t="s">
        <v>81</v>
      </c>
      <c r="K748" s="3" t="s">
        <v>3</v>
      </c>
      <c r="L748" s="3" t="s">
        <v>82</v>
      </c>
      <c r="M748" s="4">
        <v>80900</v>
      </c>
      <c r="N748" s="5">
        <v>6.7</v>
      </c>
      <c r="O748" s="4">
        <f t="shared" si="22"/>
        <v>5420.3</v>
      </c>
      <c r="P748" s="4">
        <f t="shared" si="23"/>
        <v>75479.7</v>
      </c>
      <c r="Q748" s="3" t="s">
        <v>38</v>
      </c>
      <c r="R748" s="3" t="s">
        <v>67</v>
      </c>
      <c r="S748" s="3" t="s">
        <v>67</v>
      </c>
      <c r="T748" s="3" t="s">
        <v>26</v>
      </c>
    </row>
    <row r="749" spans="1:20" ht="15" customHeight="1" x14ac:dyDescent="0.3">
      <c r="A749" s="3" t="s">
        <v>2198</v>
      </c>
      <c r="B749" s="3" t="s">
        <v>198</v>
      </c>
      <c r="C749" s="3" t="s">
        <v>2</v>
      </c>
      <c r="D749" s="3" t="s">
        <v>677</v>
      </c>
      <c r="E749" s="3" t="s">
        <v>2199</v>
      </c>
      <c r="F749" s="3" t="s">
        <v>174</v>
      </c>
      <c r="G749" s="3" t="s">
        <v>80</v>
      </c>
      <c r="H749" s="3" t="s">
        <v>22</v>
      </c>
      <c r="I749" s="3">
        <v>0</v>
      </c>
      <c r="J749" s="3" t="s">
        <v>179</v>
      </c>
      <c r="K749" s="3" t="s">
        <v>7</v>
      </c>
      <c r="L749" s="3" t="s">
        <v>206</v>
      </c>
      <c r="M749" s="4">
        <v>145000</v>
      </c>
      <c r="N749" s="5">
        <v>10.199999999999999</v>
      </c>
      <c r="O749" s="4">
        <f t="shared" si="22"/>
        <v>14790</v>
      </c>
      <c r="P749" s="4">
        <f t="shared" si="23"/>
        <v>130210</v>
      </c>
      <c r="Q749" s="3" t="s">
        <v>40</v>
      </c>
      <c r="R749" s="3" t="s">
        <v>67</v>
      </c>
      <c r="S749" s="3" t="s">
        <v>68</v>
      </c>
      <c r="T749" s="3" t="s">
        <v>26</v>
      </c>
    </row>
    <row r="750" spans="1:20" ht="15" customHeight="1" x14ac:dyDescent="0.3">
      <c r="A750" s="3" t="s">
        <v>2200</v>
      </c>
      <c r="B750" s="3" t="s">
        <v>166</v>
      </c>
      <c r="C750" s="3" t="s">
        <v>4</v>
      </c>
      <c r="D750" s="3" t="s">
        <v>1598</v>
      </c>
      <c r="E750" s="3" t="s">
        <v>2201</v>
      </c>
      <c r="F750" s="3" t="s">
        <v>63</v>
      </c>
      <c r="G750" s="3" t="s">
        <v>95</v>
      </c>
      <c r="H750" s="3" t="s">
        <v>22</v>
      </c>
      <c r="I750" s="3">
        <v>0</v>
      </c>
      <c r="J750" s="3" t="s">
        <v>81</v>
      </c>
      <c r="K750" s="3" t="s">
        <v>5</v>
      </c>
      <c r="L750" s="3" t="s">
        <v>97</v>
      </c>
      <c r="M750" s="4">
        <v>139999</v>
      </c>
      <c r="N750" s="5">
        <v>14.2</v>
      </c>
      <c r="O750" s="4">
        <f t="shared" si="22"/>
        <v>19879.857999999997</v>
      </c>
      <c r="P750" s="4">
        <f t="shared" si="23"/>
        <v>120119.14200000001</v>
      </c>
      <c r="Q750" s="3" t="s">
        <v>25</v>
      </c>
      <c r="R750" s="3" t="s">
        <v>67</v>
      </c>
      <c r="S750" s="3" t="s">
        <v>67</v>
      </c>
      <c r="T750" s="3" t="s">
        <v>26</v>
      </c>
    </row>
    <row r="751" spans="1:20" ht="15" customHeight="1" x14ac:dyDescent="0.3">
      <c r="A751" s="3" t="s">
        <v>2202</v>
      </c>
      <c r="B751" s="3" t="s">
        <v>253</v>
      </c>
      <c r="C751" s="3" t="s">
        <v>17</v>
      </c>
      <c r="D751" s="3" t="s">
        <v>1408</v>
      </c>
      <c r="E751" s="3" t="s">
        <v>2203</v>
      </c>
      <c r="F751" s="3" t="s">
        <v>145</v>
      </c>
      <c r="G751" s="3" t="s">
        <v>135</v>
      </c>
      <c r="H751" s="3" t="s">
        <v>19</v>
      </c>
      <c r="I751" s="3">
        <v>160</v>
      </c>
      <c r="J751" s="3" t="s">
        <v>89</v>
      </c>
      <c r="K751" s="3" t="s">
        <v>1</v>
      </c>
      <c r="L751" s="3" t="s">
        <v>206</v>
      </c>
      <c r="M751" s="4">
        <v>124900</v>
      </c>
      <c r="N751" s="5">
        <v>9.5</v>
      </c>
      <c r="O751" s="4">
        <f t="shared" si="22"/>
        <v>11865.5</v>
      </c>
      <c r="P751" s="4">
        <f t="shared" si="23"/>
        <v>113034.5</v>
      </c>
      <c r="Q751" s="3" t="s">
        <v>34</v>
      </c>
      <c r="R751" s="3" t="s">
        <v>68</v>
      </c>
      <c r="S751" s="3" t="s">
        <v>68</v>
      </c>
      <c r="T751" s="3" t="s">
        <v>29</v>
      </c>
    </row>
    <row r="752" spans="1:20" ht="15" customHeight="1" x14ac:dyDescent="0.3">
      <c r="A752" s="3" t="s">
        <v>2204</v>
      </c>
      <c r="B752" s="3" t="s">
        <v>938</v>
      </c>
      <c r="C752" s="3" t="s">
        <v>6</v>
      </c>
      <c r="D752" s="3" t="s">
        <v>1779</v>
      </c>
      <c r="E752" s="3" t="s">
        <v>2205</v>
      </c>
      <c r="F752" s="3" t="s">
        <v>79</v>
      </c>
      <c r="G752" s="3" t="s">
        <v>88</v>
      </c>
      <c r="H752" s="3" t="s">
        <v>18</v>
      </c>
      <c r="I752" s="3">
        <v>125</v>
      </c>
      <c r="J752" s="3" t="s">
        <v>102</v>
      </c>
      <c r="K752" s="3" t="s">
        <v>9</v>
      </c>
      <c r="L752" s="3" t="s">
        <v>103</v>
      </c>
      <c r="M752" s="4">
        <v>94900</v>
      </c>
      <c r="N752" s="5">
        <v>3.6</v>
      </c>
      <c r="O752" s="4">
        <f t="shared" si="22"/>
        <v>3416.4</v>
      </c>
      <c r="P752" s="4">
        <f t="shared" si="23"/>
        <v>91483.6</v>
      </c>
      <c r="Q752" s="3" t="s">
        <v>38</v>
      </c>
      <c r="R752" s="3" t="s">
        <v>67</v>
      </c>
      <c r="S752" s="3" t="s">
        <v>67</v>
      </c>
      <c r="T752" s="3" t="s">
        <v>26</v>
      </c>
    </row>
    <row r="753" spans="1:20" ht="15" customHeight="1" x14ac:dyDescent="0.3">
      <c r="A753" s="3" t="s">
        <v>2206</v>
      </c>
      <c r="B753" s="3" t="s">
        <v>639</v>
      </c>
      <c r="C753" s="3" t="s">
        <v>16</v>
      </c>
      <c r="D753" s="3" t="s">
        <v>1695</v>
      </c>
      <c r="E753" s="3" t="s">
        <v>2207</v>
      </c>
      <c r="F753" s="3" t="s">
        <v>63</v>
      </c>
      <c r="G753" s="3" t="s">
        <v>95</v>
      </c>
      <c r="H753" s="3" t="s">
        <v>22</v>
      </c>
      <c r="I753" s="3">
        <v>0</v>
      </c>
      <c r="J753" s="3" t="s">
        <v>179</v>
      </c>
      <c r="K753" s="3" t="s">
        <v>11</v>
      </c>
      <c r="L753" s="3" t="s">
        <v>97</v>
      </c>
      <c r="M753" s="4">
        <v>139999</v>
      </c>
      <c r="N753" s="5">
        <v>6.7</v>
      </c>
      <c r="O753" s="4">
        <f t="shared" si="22"/>
        <v>9379.9330000000009</v>
      </c>
      <c r="P753" s="4">
        <f t="shared" si="23"/>
        <v>130619.067</v>
      </c>
      <c r="Q753" s="3" t="s">
        <v>36</v>
      </c>
      <c r="R753" s="3" t="s">
        <v>67</v>
      </c>
      <c r="S753" s="3" t="s">
        <v>68</v>
      </c>
      <c r="T753" s="3" t="s">
        <v>29</v>
      </c>
    </row>
    <row r="754" spans="1:20" ht="15" customHeight="1" x14ac:dyDescent="0.3">
      <c r="A754" s="3" t="s">
        <v>2208</v>
      </c>
      <c r="B754" s="3" t="s">
        <v>1315</v>
      </c>
      <c r="C754" s="3" t="s">
        <v>14</v>
      </c>
      <c r="D754" s="3" t="s">
        <v>106</v>
      </c>
      <c r="E754" s="3" t="s">
        <v>2209</v>
      </c>
      <c r="F754" s="3" t="s">
        <v>79</v>
      </c>
      <c r="G754" s="3" t="s">
        <v>80</v>
      </c>
      <c r="H754" s="3" t="s">
        <v>22</v>
      </c>
      <c r="I754" s="3">
        <v>0</v>
      </c>
      <c r="J754" s="3" t="s">
        <v>119</v>
      </c>
      <c r="K754" s="3" t="s">
        <v>11</v>
      </c>
      <c r="L754" s="3" t="s">
        <v>136</v>
      </c>
      <c r="M754" s="4">
        <v>145000</v>
      </c>
      <c r="N754" s="5">
        <v>14.1</v>
      </c>
      <c r="O754" s="4">
        <f t="shared" si="22"/>
        <v>20445</v>
      </c>
      <c r="P754" s="4">
        <f t="shared" si="23"/>
        <v>124555</v>
      </c>
      <c r="Q754" s="3" t="s">
        <v>25</v>
      </c>
      <c r="R754" s="3" t="s">
        <v>68</v>
      </c>
      <c r="S754" s="3" t="s">
        <v>67</v>
      </c>
      <c r="T754" s="3" t="s">
        <v>29</v>
      </c>
    </row>
    <row r="755" spans="1:20" ht="15" customHeight="1" x14ac:dyDescent="0.3">
      <c r="A755" s="3" t="s">
        <v>2210</v>
      </c>
      <c r="B755" s="3" t="s">
        <v>330</v>
      </c>
      <c r="C755" s="3" t="s">
        <v>4</v>
      </c>
      <c r="D755" s="3" t="s">
        <v>2211</v>
      </c>
      <c r="E755" s="3" t="s">
        <v>2212</v>
      </c>
      <c r="F755" s="3" t="s">
        <v>63</v>
      </c>
      <c r="G755" s="3" t="s">
        <v>222</v>
      </c>
      <c r="H755" s="3" t="s">
        <v>19</v>
      </c>
      <c r="I755" s="3">
        <v>155</v>
      </c>
      <c r="J755" s="3" t="s">
        <v>81</v>
      </c>
      <c r="K755" s="3" t="s">
        <v>9</v>
      </c>
      <c r="L755" s="3" t="s">
        <v>97</v>
      </c>
      <c r="M755" s="4">
        <v>167900</v>
      </c>
      <c r="N755" s="5">
        <v>14.8</v>
      </c>
      <c r="O755" s="4">
        <f t="shared" si="22"/>
        <v>24849.200000000001</v>
      </c>
      <c r="P755" s="4">
        <f t="shared" si="23"/>
        <v>143050.79999999999</v>
      </c>
      <c r="Q755" s="3" t="s">
        <v>38</v>
      </c>
      <c r="R755" s="3" t="s">
        <v>68</v>
      </c>
      <c r="S755" s="3" t="s">
        <v>67</v>
      </c>
      <c r="T755" s="3" t="s">
        <v>26</v>
      </c>
    </row>
    <row r="756" spans="1:20" ht="15" customHeight="1" x14ac:dyDescent="0.3">
      <c r="A756" s="3" t="s">
        <v>2213</v>
      </c>
      <c r="B756" s="3" t="s">
        <v>722</v>
      </c>
      <c r="C756" s="3" t="s">
        <v>2</v>
      </c>
      <c r="D756" s="3" t="s">
        <v>2214</v>
      </c>
      <c r="E756" s="3" t="s">
        <v>2215</v>
      </c>
      <c r="F756" s="3" t="s">
        <v>112</v>
      </c>
      <c r="G756" s="3" t="s">
        <v>211</v>
      </c>
      <c r="H756" s="3" t="s">
        <v>20</v>
      </c>
      <c r="I756" s="3">
        <v>350</v>
      </c>
      <c r="J756" s="3" t="s">
        <v>243</v>
      </c>
      <c r="K756" s="3" t="s">
        <v>7</v>
      </c>
      <c r="L756" s="3" t="s">
        <v>74</v>
      </c>
      <c r="M756" s="4">
        <v>199900</v>
      </c>
      <c r="N756" s="5">
        <v>11.4</v>
      </c>
      <c r="O756" s="4">
        <f t="shared" si="22"/>
        <v>22788.6</v>
      </c>
      <c r="P756" s="4">
        <f t="shared" si="23"/>
        <v>177111.4</v>
      </c>
      <c r="Q756" s="3" t="s">
        <v>34</v>
      </c>
      <c r="R756" s="3" t="s">
        <v>68</v>
      </c>
      <c r="S756" s="3" t="s">
        <v>67</v>
      </c>
      <c r="T756" s="3" t="s">
        <v>26</v>
      </c>
    </row>
    <row r="757" spans="1:20" ht="15" customHeight="1" x14ac:dyDescent="0.3">
      <c r="A757" s="3" t="s">
        <v>2216</v>
      </c>
      <c r="B757" s="3" t="s">
        <v>809</v>
      </c>
      <c r="C757" s="3" t="s">
        <v>17</v>
      </c>
      <c r="D757" s="3" t="s">
        <v>1112</v>
      </c>
      <c r="E757" s="3" t="s">
        <v>2217</v>
      </c>
      <c r="F757" s="3" t="s">
        <v>87</v>
      </c>
      <c r="G757" s="3" t="s">
        <v>211</v>
      </c>
      <c r="H757" s="3" t="s">
        <v>20</v>
      </c>
      <c r="I757" s="3">
        <v>350</v>
      </c>
      <c r="J757" s="3" t="s">
        <v>81</v>
      </c>
      <c r="K757" s="3" t="s">
        <v>7</v>
      </c>
      <c r="L757" s="3" t="s">
        <v>97</v>
      </c>
      <c r="M757" s="4">
        <v>199900</v>
      </c>
      <c r="N757" s="5">
        <v>7</v>
      </c>
      <c r="O757" s="4">
        <f t="shared" si="22"/>
        <v>13993</v>
      </c>
      <c r="P757" s="4">
        <f t="shared" si="23"/>
        <v>185907</v>
      </c>
      <c r="Q757" s="3" t="s">
        <v>38</v>
      </c>
      <c r="R757" s="3" t="s">
        <v>68</v>
      </c>
      <c r="S757" s="3" t="s">
        <v>68</v>
      </c>
      <c r="T757" s="3" t="s">
        <v>29</v>
      </c>
    </row>
    <row r="758" spans="1:20" ht="15" customHeight="1" x14ac:dyDescent="0.3">
      <c r="A758" s="3" t="s">
        <v>2218</v>
      </c>
      <c r="B758" s="3" t="s">
        <v>806</v>
      </c>
      <c r="C758" s="3" t="s">
        <v>2</v>
      </c>
      <c r="D758" s="3" t="s">
        <v>2219</v>
      </c>
      <c r="E758" s="3" t="s">
        <v>2220</v>
      </c>
      <c r="F758" s="3" t="s">
        <v>134</v>
      </c>
      <c r="G758" s="3" t="s">
        <v>88</v>
      </c>
      <c r="H758" s="3" t="s">
        <v>18</v>
      </c>
      <c r="I758" s="3">
        <v>125</v>
      </c>
      <c r="J758" s="3" t="s">
        <v>89</v>
      </c>
      <c r="K758" s="3" t="s">
        <v>9</v>
      </c>
      <c r="L758" s="3" t="s">
        <v>82</v>
      </c>
      <c r="M758" s="4">
        <v>94900</v>
      </c>
      <c r="N758" s="5">
        <v>10.4</v>
      </c>
      <c r="O758" s="4">
        <f t="shared" si="22"/>
        <v>9869.6</v>
      </c>
      <c r="P758" s="4">
        <f t="shared" si="23"/>
        <v>85030.399999999994</v>
      </c>
      <c r="Q758" s="3" t="s">
        <v>28</v>
      </c>
      <c r="R758" s="3" t="s">
        <v>67</v>
      </c>
      <c r="S758" s="3" t="s">
        <v>67</v>
      </c>
      <c r="T758" s="3" t="s">
        <v>26</v>
      </c>
    </row>
    <row r="759" spans="1:20" ht="15" customHeight="1" x14ac:dyDescent="0.3">
      <c r="A759" s="3" t="s">
        <v>2221</v>
      </c>
      <c r="B759" s="3" t="s">
        <v>318</v>
      </c>
      <c r="C759" s="3" t="s">
        <v>10</v>
      </c>
      <c r="D759" s="3" t="s">
        <v>1447</v>
      </c>
      <c r="E759" s="3" t="s">
        <v>2222</v>
      </c>
      <c r="F759" s="3" t="s">
        <v>134</v>
      </c>
      <c r="G759" s="3" t="s">
        <v>201</v>
      </c>
      <c r="H759" s="3" t="s">
        <v>19</v>
      </c>
      <c r="I759" s="3">
        <v>160</v>
      </c>
      <c r="J759" s="3" t="s">
        <v>129</v>
      </c>
      <c r="K759" s="3" t="s">
        <v>1</v>
      </c>
      <c r="L759" s="3" t="s">
        <v>90</v>
      </c>
      <c r="M759" s="4">
        <v>129900</v>
      </c>
      <c r="N759" s="5">
        <v>11.6</v>
      </c>
      <c r="O759" s="4">
        <f t="shared" si="22"/>
        <v>15068.4</v>
      </c>
      <c r="P759" s="4">
        <f t="shared" si="23"/>
        <v>114831.6</v>
      </c>
      <c r="Q759" s="3" t="s">
        <v>25</v>
      </c>
      <c r="R759" s="3" t="s">
        <v>67</v>
      </c>
      <c r="S759" s="3" t="s">
        <v>68</v>
      </c>
      <c r="T759" s="3" t="s">
        <v>29</v>
      </c>
    </row>
    <row r="760" spans="1:20" ht="15" customHeight="1" x14ac:dyDescent="0.3">
      <c r="A760" s="3" t="s">
        <v>2223</v>
      </c>
      <c r="B760" s="3" t="s">
        <v>276</v>
      </c>
      <c r="C760" s="3" t="s">
        <v>12</v>
      </c>
      <c r="D760" s="3" t="s">
        <v>2224</v>
      </c>
      <c r="E760" s="3" t="s">
        <v>2225</v>
      </c>
      <c r="F760" s="3" t="s">
        <v>112</v>
      </c>
      <c r="G760" s="3" t="s">
        <v>316</v>
      </c>
      <c r="H760" s="3" t="s">
        <v>19</v>
      </c>
      <c r="I760" s="3">
        <v>150</v>
      </c>
      <c r="J760" s="3" t="s">
        <v>243</v>
      </c>
      <c r="K760" s="3" t="s">
        <v>5</v>
      </c>
      <c r="L760" s="3" t="s">
        <v>103</v>
      </c>
      <c r="M760" s="4">
        <v>109900</v>
      </c>
      <c r="N760" s="5">
        <v>9.3000000000000007</v>
      </c>
      <c r="O760" s="4">
        <f t="shared" si="22"/>
        <v>10220.700000000001</v>
      </c>
      <c r="P760" s="4">
        <f t="shared" si="23"/>
        <v>99679.3</v>
      </c>
      <c r="Q760" s="3" t="s">
        <v>36</v>
      </c>
      <c r="R760" s="3" t="s">
        <v>67</v>
      </c>
      <c r="S760" s="3" t="s">
        <v>68</v>
      </c>
      <c r="T760" s="3" t="s">
        <v>26</v>
      </c>
    </row>
    <row r="761" spans="1:20" ht="15" customHeight="1" x14ac:dyDescent="0.3">
      <c r="A761" s="3" t="s">
        <v>2226</v>
      </c>
      <c r="B761" s="3" t="s">
        <v>1070</v>
      </c>
      <c r="C761" s="3" t="s">
        <v>0</v>
      </c>
      <c r="D761" s="3" t="s">
        <v>2227</v>
      </c>
      <c r="E761" s="3" t="s">
        <v>2228</v>
      </c>
      <c r="F761" s="3" t="s">
        <v>79</v>
      </c>
      <c r="G761" s="3" t="s">
        <v>184</v>
      </c>
      <c r="H761" s="3" t="s">
        <v>18</v>
      </c>
      <c r="I761" s="3">
        <v>125</v>
      </c>
      <c r="J761" s="3" t="s">
        <v>243</v>
      </c>
      <c r="K761" s="3" t="s">
        <v>7</v>
      </c>
      <c r="L761" s="3" t="s">
        <v>82</v>
      </c>
      <c r="M761" s="4">
        <v>79900</v>
      </c>
      <c r="N761" s="5">
        <v>9.6999999999999993</v>
      </c>
      <c r="O761" s="4">
        <f t="shared" si="22"/>
        <v>7750.3</v>
      </c>
      <c r="P761" s="4">
        <f t="shared" si="23"/>
        <v>72149.7</v>
      </c>
      <c r="Q761" s="3" t="s">
        <v>31</v>
      </c>
      <c r="R761" s="3" t="s">
        <v>67</v>
      </c>
      <c r="S761" s="3" t="s">
        <v>68</v>
      </c>
      <c r="T761" s="3" t="s">
        <v>26</v>
      </c>
    </row>
    <row r="762" spans="1:20" ht="15" customHeight="1" x14ac:dyDescent="0.3">
      <c r="A762" s="3" t="s">
        <v>2229</v>
      </c>
      <c r="B762" s="3" t="s">
        <v>722</v>
      </c>
      <c r="C762" s="3" t="s">
        <v>2</v>
      </c>
      <c r="D762" s="3" t="s">
        <v>2230</v>
      </c>
      <c r="E762" s="3" t="s">
        <v>2231</v>
      </c>
      <c r="F762" s="3" t="s">
        <v>63</v>
      </c>
      <c r="G762" s="3" t="s">
        <v>324</v>
      </c>
      <c r="H762" s="3" t="s">
        <v>19</v>
      </c>
      <c r="I762" s="3">
        <v>149</v>
      </c>
      <c r="J762" s="3" t="s">
        <v>96</v>
      </c>
      <c r="K762" s="3" t="s">
        <v>5</v>
      </c>
      <c r="L762" s="3" t="s">
        <v>82</v>
      </c>
      <c r="M762" s="4">
        <v>119900</v>
      </c>
      <c r="N762" s="5">
        <v>4.7</v>
      </c>
      <c r="O762" s="4">
        <f t="shared" si="22"/>
        <v>5635.3</v>
      </c>
      <c r="P762" s="4">
        <f t="shared" si="23"/>
        <v>114264.7</v>
      </c>
      <c r="Q762" s="3" t="s">
        <v>36</v>
      </c>
      <c r="R762" s="3" t="s">
        <v>68</v>
      </c>
      <c r="S762" s="3" t="s">
        <v>68</v>
      </c>
      <c r="T762" s="3" t="s">
        <v>26</v>
      </c>
    </row>
    <row r="763" spans="1:20" ht="15" customHeight="1" x14ac:dyDescent="0.3">
      <c r="A763" s="3" t="s">
        <v>2232</v>
      </c>
      <c r="B763" s="3" t="s">
        <v>105</v>
      </c>
      <c r="C763" s="3" t="s">
        <v>13</v>
      </c>
      <c r="D763" s="3" t="s">
        <v>677</v>
      </c>
      <c r="E763" s="3" t="s">
        <v>2233</v>
      </c>
      <c r="F763" s="3" t="s">
        <v>124</v>
      </c>
      <c r="G763" s="3" t="s">
        <v>95</v>
      </c>
      <c r="H763" s="3" t="s">
        <v>22</v>
      </c>
      <c r="I763" s="3">
        <v>0</v>
      </c>
      <c r="J763" s="3" t="s">
        <v>89</v>
      </c>
      <c r="K763" s="3" t="s">
        <v>9</v>
      </c>
      <c r="L763" s="3" t="s">
        <v>90</v>
      </c>
      <c r="M763" s="4">
        <v>139999</v>
      </c>
      <c r="N763" s="5">
        <v>8</v>
      </c>
      <c r="O763" s="4">
        <f t="shared" si="22"/>
        <v>11199.92</v>
      </c>
      <c r="P763" s="4">
        <f t="shared" si="23"/>
        <v>128799.08</v>
      </c>
      <c r="Q763" s="3" t="s">
        <v>36</v>
      </c>
      <c r="R763" s="3" t="s">
        <v>67</v>
      </c>
      <c r="S763" s="3" t="s">
        <v>67</v>
      </c>
      <c r="T763" s="3" t="s">
        <v>26</v>
      </c>
    </row>
    <row r="764" spans="1:20" ht="15" customHeight="1" x14ac:dyDescent="0.3">
      <c r="A764" s="3" t="s">
        <v>2234</v>
      </c>
      <c r="B764" s="3" t="s">
        <v>166</v>
      </c>
      <c r="C764" s="3" t="s">
        <v>4</v>
      </c>
      <c r="D764" s="3" t="s">
        <v>1203</v>
      </c>
      <c r="E764" s="3" t="s">
        <v>2235</v>
      </c>
      <c r="F764" s="3" t="s">
        <v>117</v>
      </c>
      <c r="G764" s="3" t="s">
        <v>316</v>
      </c>
      <c r="H764" s="3" t="s">
        <v>19</v>
      </c>
      <c r="I764" s="3">
        <v>150</v>
      </c>
      <c r="J764" s="3" t="s">
        <v>102</v>
      </c>
      <c r="K764" s="3" t="s">
        <v>5</v>
      </c>
      <c r="L764" s="3" t="s">
        <v>90</v>
      </c>
      <c r="M764" s="4">
        <v>109900</v>
      </c>
      <c r="N764" s="5">
        <v>7</v>
      </c>
      <c r="O764" s="4">
        <f t="shared" si="22"/>
        <v>7693</v>
      </c>
      <c r="P764" s="4">
        <f t="shared" si="23"/>
        <v>102207</v>
      </c>
      <c r="Q764" s="3" t="s">
        <v>28</v>
      </c>
      <c r="R764" s="3" t="s">
        <v>67</v>
      </c>
      <c r="S764" s="3" t="s">
        <v>68</v>
      </c>
      <c r="T764" s="3" t="s">
        <v>26</v>
      </c>
    </row>
    <row r="765" spans="1:20" ht="15" customHeight="1" x14ac:dyDescent="0.3">
      <c r="A765" s="3" t="s">
        <v>2236</v>
      </c>
      <c r="B765" s="3" t="s">
        <v>938</v>
      </c>
      <c r="C765" s="3" t="s">
        <v>6</v>
      </c>
      <c r="D765" s="3" t="s">
        <v>921</v>
      </c>
      <c r="E765" s="3" t="s">
        <v>2237</v>
      </c>
      <c r="F765" s="3" t="s">
        <v>174</v>
      </c>
      <c r="G765" s="3" t="s">
        <v>189</v>
      </c>
      <c r="H765" s="3" t="s">
        <v>18</v>
      </c>
      <c r="I765" s="3">
        <v>100</v>
      </c>
      <c r="J765" s="3" t="s">
        <v>129</v>
      </c>
      <c r="K765" s="3" t="s">
        <v>9</v>
      </c>
      <c r="L765" s="3" t="s">
        <v>90</v>
      </c>
      <c r="M765" s="4">
        <v>72900</v>
      </c>
      <c r="N765" s="5">
        <v>7.7</v>
      </c>
      <c r="O765" s="4">
        <f t="shared" si="22"/>
        <v>5613.3</v>
      </c>
      <c r="P765" s="4">
        <f t="shared" si="23"/>
        <v>67286.7</v>
      </c>
      <c r="Q765" s="3" t="s">
        <v>25</v>
      </c>
      <c r="R765" s="3" t="s">
        <v>68</v>
      </c>
      <c r="S765" s="3" t="s">
        <v>68</v>
      </c>
      <c r="T765" s="3" t="s">
        <v>26</v>
      </c>
    </row>
    <row r="766" spans="1:20" ht="15" customHeight="1" x14ac:dyDescent="0.3">
      <c r="A766" s="3" t="s">
        <v>2238</v>
      </c>
      <c r="B766" s="3" t="s">
        <v>268</v>
      </c>
      <c r="C766" s="3" t="s">
        <v>4</v>
      </c>
      <c r="D766" s="3" t="s">
        <v>2239</v>
      </c>
      <c r="E766" s="3" t="s">
        <v>2240</v>
      </c>
      <c r="F766" s="3" t="s">
        <v>112</v>
      </c>
      <c r="G766" s="3" t="s">
        <v>118</v>
      </c>
      <c r="H766" s="3" t="s">
        <v>20</v>
      </c>
      <c r="I766" s="3">
        <v>350</v>
      </c>
      <c r="J766" s="3" t="s">
        <v>102</v>
      </c>
      <c r="K766" s="3" t="s">
        <v>11</v>
      </c>
      <c r="L766" s="3" t="s">
        <v>90</v>
      </c>
      <c r="M766" s="4">
        <v>159900</v>
      </c>
      <c r="N766" s="5">
        <v>13.5</v>
      </c>
      <c r="O766" s="4">
        <f t="shared" si="22"/>
        <v>21586.5</v>
      </c>
      <c r="P766" s="4">
        <f t="shared" si="23"/>
        <v>138313.5</v>
      </c>
      <c r="Q766" s="3" t="s">
        <v>34</v>
      </c>
      <c r="R766" s="3" t="s">
        <v>68</v>
      </c>
      <c r="S766" s="3" t="s">
        <v>67</v>
      </c>
      <c r="T766" s="3" t="s">
        <v>26</v>
      </c>
    </row>
    <row r="767" spans="1:20" ht="15" customHeight="1" x14ac:dyDescent="0.3">
      <c r="A767" s="3" t="s">
        <v>2241</v>
      </c>
      <c r="B767" s="3" t="s">
        <v>176</v>
      </c>
      <c r="C767" s="3" t="s">
        <v>10</v>
      </c>
      <c r="D767" s="3" t="s">
        <v>1127</v>
      </c>
      <c r="E767" s="3" t="s">
        <v>2242</v>
      </c>
      <c r="F767" s="3" t="s">
        <v>134</v>
      </c>
      <c r="G767" s="3" t="s">
        <v>88</v>
      </c>
      <c r="H767" s="3" t="s">
        <v>18</v>
      </c>
      <c r="I767" s="3">
        <v>125</v>
      </c>
      <c r="J767" s="3" t="s">
        <v>243</v>
      </c>
      <c r="K767" s="3" t="s">
        <v>1</v>
      </c>
      <c r="L767" s="3" t="s">
        <v>206</v>
      </c>
      <c r="M767" s="4">
        <v>94900</v>
      </c>
      <c r="N767" s="5">
        <v>13.7</v>
      </c>
      <c r="O767" s="4">
        <f t="shared" si="22"/>
        <v>13001.3</v>
      </c>
      <c r="P767" s="4">
        <f t="shared" si="23"/>
        <v>81898.7</v>
      </c>
      <c r="Q767" s="3" t="s">
        <v>34</v>
      </c>
      <c r="R767" s="3" t="s">
        <v>68</v>
      </c>
      <c r="S767" s="3" t="s">
        <v>67</v>
      </c>
      <c r="T767" s="3" t="s">
        <v>26</v>
      </c>
    </row>
    <row r="768" spans="1:20" ht="15" customHeight="1" x14ac:dyDescent="0.3">
      <c r="A768" s="3" t="s">
        <v>2243</v>
      </c>
      <c r="B768" s="3" t="s">
        <v>176</v>
      </c>
      <c r="C768" s="3" t="s">
        <v>16</v>
      </c>
      <c r="D768" s="3" t="s">
        <v>1011</v>
      </c>
      <c r="E768" s="3" t="s">
        <v>2244</v>
      </c>
      <c r="F768" s="3" t="s">
        <v>87</v>
      </c>
      <c r="G768" s="3" t="s">
        <v>135</v>
      </c>
      <c r="H768" s="3" t="s">
        <v>19</v>
      </c>
      <c r="I768" s="3">
        <v>160</v>
      </c>
      <c r="J768" s="3" t="s">
        <v>65</v>
      </c>
      <c r="K768" s="3" t="s">
        <v>1</v>
      </c>
      <c r="L768" s="3" t="s">
        <v>136</v>
      </c>
      <c r="M768" s="4">
        <v>124900</v>
      </c>
      <c r="N768" s="5">
        <v>7</v>
      </c>
      <c r="O768" s="4">
        <f t="shared" si="22"/>
        <v>8743</v>
      </c>
      <c r="P768" s="4">
        <f t="shared" si="23"/>
        <v>116157</v>
      </c>
      <c r="Q768" s="3" t="s">
        <v>40</v>
      </c>
      <c r="R768" s="3" t="s">
        <v>67</v>
      </c>
      <c r="S768" s="3" t="s">
        <v>68</v>
      </c>
      <c r="T768" s="3" t="s">
        <v>26</v>
      </c>
    </row>
    <row r="769" spans="1:20" ht="15" customHeight="1" x14ac:dyDescent="0.3">
      <c r="A769" s="3" t="s">
        <v>2245</v>
      </c>
      <c r="B769" s="3" t="s">
        <v>198</v>
      </c>
      <c r="C769" s="3" t="s">
        <v>2</v>
      </c>
      <c r="D769" s="3" t="s">
        <v>1185</v>
      </c>
      <c r="E769" s="3" t="s">
        <v>2246</v>
      </c>
      <c r="F769" s="3" t="s">
        <v>145</v>
      </c>
      <c r="G769" s="3" t="s">
        <v>201</v>
      </c>
      <c r="H769" s="3" t="s">
        <v>19</v>
      </c>
      <c r="I769" s="3">
        <v>160</v>
      </c>
      <c r="J769" s="3" t="s">
        <v>119</v>
      </c>
      <c r="K769" s="3" t="s">
        <v>9</v>
      </c>
      <c r="L769" s="3" t="s">
        <v>136</v>
      </c>
      <c r="M769" s="4">
        <v>129900</v>
      </c>
      <c r="N769" s="5">
        <v>4.8</v>
      </c>
      <c r="O769" s="4">
        <f t="shared" si="22"/>
        <v>6235.2</v>
      </c>
      <c r="P769" s="4">
        <f t="shared" si="23"/>
        <v>123664.8</v>
      </c>
      <c r="Q769" s="3" t="s">
        <v>34</v>
      </c>
      <c r="R769" s="3" t="s">
        <v>67</v>
      </c>
      <c r="S769" s="3" t="s">
        <v>68</v>
      </c>
      <c r="T769" s="3" t="s">
        <v>26</v>
      </c>
    </row>
    <row r="770" spans="1:20" ht="15" customHeight="1" x14ac:dyDescent="0.3">
      <c r="A770" s="3" t="s">
        <v>2247</v>
      </c>
      <c r="B770" s="3" t="s">
        <v>501</v>
      </c>
      <c r="C770" s="3" t="s">
        <v>12</v>
      </c>
      <c r="D770" s="3" t="s">
        <v>558</v>
      </c>
      <c r="E770" s="3" t="s">
        <v>2248</v>
      </c>
      <c r="F770" s="3" t="s">
        <v>174</v>
      </c>
      <c r="G770" s="3" t="s">
        <v>64</v>
      </c>
      <c r="H770" s="3" t="s">
        <v>19</v>
      </c>
      <c r="I770" s="3">
        <v>200</v>
      </c>
      <c r="J770" s="3" t="s">
        <v>96</v>
      </c>
      <c r="K770" s="3" t="s">
        <v>9</v>
      </c>
      <c r="L770" s="3" t="s">
        <v>66</v>
      </c>
      <c r="M770" s="4">
        <v>199900</v>
      </c>
      <c r="N770" s="5">
        <v>12.1</v>
      </c>
      <c r="O770" s="4">
        <f t="shared" ref="O770:O833" si="24">M770*N770/100</f>
        <v>24187.9</v>
      </c>
      <c r="P770" s="4">
        <f t="shared" ref="P770:P833" si="25">M770-O770</f>
        <v>175712.1</v>
      </c>
      <c r="Q770" s="3" t="s">
        <v>36</v>
      </c>
      <c r="R770" s="3" t="s">
        <v>67</v>
      </c>
      <c r="S770" s="3" t="s">
        <v>67</v>
      </c>
      <c r="T770" s="3" t="s">
        <v>26</v>
      </c>
    </row>
    <row r="771" spans="1:20" ht="15" customHeight="1" x14ac:dyDescent="0.3">
      <c r="A771" s="3" t="s">
        <v>2249</v>
      </c>
      <c r="B771" s="3" t="s">
        <v>166</v>
      </c>
      <c r="C771" s="3" t="s">
        <v>4</v>
      </c>
      <c r="D771" s="3" t="s">
        <v>538</v>
      </c>
      <c r="E771" s="3" t="s">
        <v>2250</v>
      </c>
      <c r="F771" s="3" t="s">
        <v>155</v>
      </c>
      <c r="G771" s="3" t="s">
        <v>73</v>
      </c>
      <c r="H771" s="3" t="s">
        <v>21</v>
      </c>
      <c r="I771" s="3">
        <v>110</v>
      </c>
      <c r="J771" s="3" t="s">
        <v>89</v>
      </c>
      <c r="K771" s="3" t="s">
        <v>7</v>
      </c>
      <c r="L771" s="3" t="s">
        <v>136</v>
      </c>
      <c r="M771" s="4">
        <v>79900</v>
      </c>
      <c r="N771" s="5">
        <v>7.4</v>
      </c>
      <c r="O771" s="4">
        <f t="shared" si="24"/>
        <v>5912.6</v>
      </c>
      <c r="P771" s="4">
        <f t="shared" si="25"/>
        <v>73987.399999999994</v>
      </c>
      <c r="Q771" s="3" t="s">
        <v>25</v>
      </c>
      <c r="R771" s="3" t="s">
        <v>67</v>
      </c>
      <c r="S771" s="3" t="s">
        <v>67</v>
      </c>
      <c r="T771" s="3" t="s">
        <v>26</v>
      </c>
    </row>
    <row r="772" spans="1:20" ht="15" customHeight="1" x14ac:dyDescent="0.3">
      <c r="A772" s="3" t="s">
        <v>2251</v>
      </c>
      <c r="B772" s="3" t="s">
        <v>759</v>
      </c>
      <c r="C772" s="3" t="s">
        <v>8</v>
      </c>
      <c r="D772" s="3" t="s">
        <v>2252</v>
      </c>
      <c r="E772" s="3" t="s">
        <v>2253</v>
      </c>
      <c r="F772" s="3" t="s">
        <v>124</v>
      </c>
      <c r="G772" s="3" t="s">
        <v>256</v>
      </c>
      <c r="H772" s="3" t="s">
        <v>21</v>
      </c>
      <c r="I772" s="3">
        <v>110</v>
      </c>
      <c r="J772" s="3" t="s">
        <v>102</v>
      </c>
      <c r="K772" s="3" t="s">
        <v>1</v>
      </c>
      <c r="L772" s="3" t="s">
        <v>103</v>
      </c>
      <c r="M772" s="4">
        <v>80900</v>
      </c>
      <c r="N772" s="5">
        <v>5.4</v>
      </c>
      <c r="O772" s="4">
        <f t="shared" si="24"/>
        <v>4368.6000000000004</v>
      </c>
      <c r="P772" s="4">
        <f t="shared" si="25"/>
        <v>76531.399999999994</v>
      </c>
      <c r="Q772" s="3" t="s">
        <v>31</v>
      </c>
      <c r="R772" s="3" t="s">
        <v>67</v>
      </c>
      <c r="S772" s="3" t="s">
        <v>68</v>
      </c>
      <c r="T772" s="3" t="s">
        <v>29</v>
      </c>
    </row>
    <row r="773" spans="1:20" ht="15" customHeight="1" x14ac:dyDescent="0.3">
      <c r="A773" s="3" t="s">
        <v>2254</v>
      </c>
      <c r="B773" s="3" t="s">
        <v>594</v>
      </c>
      <c r="C773" s="3" t="s">
        <v>15</v>
      </c>
      <c r="D773" s="3" t="s">
        <v>747</v>
      </c>
      <c r="E773" s="3" t="s">
        <v>2255</v>
      </c>
      <c r="F773" s="3" t="s">
        <v>87</v>
      </c>
      <c r="G773" s="3" t="s">
        <v>146</v>
      </c>
      <c r="H773" s="3" t="s">
        <v>18</v>
      </c>
      <c r="I773" s="3">
        <v>110</v>
      </c>
      <c r="J773" s="3" t="s">
        <v>96</v>
      </c>
      <c r="K773" s="3" t="s">
        <v>1</v>
      </c>
      <c r="L773" s="3" t="s">
        <v>103</v>
      </c>
      <c r="M773" s="4">
        <v>74900</v>
      </c>
      <c r="N773" s="5">
        <v>8.6999999999999993</v>
      </c>
      <c r="O773" s="4">
        <f t="shared" si="24"/>
        <v>6516.3</v>
      </c>
      <c r="P773" s="4">
        <f t="shared" si="25"/>
        <v>68383.7</v>
      </c>
      <c r="Q773" s="3" t="s">
        <v>28</v>
      </c>
      <c r="R773" s="3" t="s">
        <v>68</v>
      </c>
      <c r="S773" s="3" t="s">
        <v>68</v>
      </c>
      <c r="T773" s="3" t="s">
        <v>29</v>
      </c>
    </row>
    <row r="774" spans="1:20" ht="15" customHeight="1" x14ac:dyDescent="0.3">
      <c r="A774" s="3" t="s">
        <v>2256</v>
      </c>
      <c r="B774" s="3" t="s">
        <v>300</v>
      </c>
      <c r="C774" s="3" t="s">
        <v>12</v>
      </c>
      <c r="D774" s="3" t="s">
        <v>1977</v>
      </c>
      <c r="E774" s="3" t="s">
        <v>2257</v>
      </c>
      <c r="F774" s="3" t="s">
        <v>124</v>
      </c>
      <c r="G774" s="3" t="s">
        <v>201</v>
      </c>
      <c r="H774" s="3" t="s">
        <v>19</v>
      </c>
      <c r="I774" s="3">
        <v>160</v>
      </c>
      <c r="J774" s="3" t="s">
        <v>164</v>
      </c>
      <c r="K774" s="3" t="s">
        <v>5</v>
      </c>
      <c r="L774" s="3" t="s">
        <v>82</v>
      </c>
      <c r="M774" s="4">
        <v>129900</v>
      </c>
      <c r="N774" s="5">
        <v>6.1</v>
      </c>
      <c r="O774" s="4">
        <f t="shared" si="24"/>
        <v>7923.9</v>
      </c>
      <c r="P774" s="4">
        <f t="shared" si="25"/>
        <v>121976.1</v>
      </c>
      <c r="Q774" s="3" t="s">
        <v>34</v>
      </c>
      <c r="R774" s="3" t="s">
        <v>67</v>
      </c>
      <c r="S774" s="3" t="s">
        <v>68</v>
      </c>
      <c r="T774" s="3" t="s">
        <v>29</v>
      </c>
    </row>
    <row r="775" spans="1:20" ht="15" customHeight="1" x14ac:dyDescent="0.3">
      <c r="A775" s="3" t="s">
        <v>2258</v>
      </c>
      <c r="B775" s="3" t="s">
        <v>326</v>
      </c>
      <c r="C775" s="3" t="s">
        <v>0</v>
      </c>
      <c r="D775" s="3" t="s">
        <v>1408</v>
      </c>
      <c r="E775" s="3" t="s">
        <v>2259</v>
      </c>
      <c r="F775" s="3" t="s">
        <v>134</v>
      </c>
      <c r="G775" s="3" t="s">
        <v>146</v>
      </c>
      <c r="H775" s="3" t="s">
        <v>18</v>
      </c>
      <c r="I775" s="3">
        <v>110</v>
      </c>
      <c r="J775" s="3" t="s">
        <v>81</v>
      </c>
      <c r="K775" s="3" t="s">
        <v>1</v>
      </c>
      <c r="L775" s="3" t="s">
        <v>206</v>
      </c>
      <c r="M775" s="4">
        <v>74900</v>
      </c>
      <c r="N775" s="5">
        <v>7.8</v>
      </c>
      <c r="O775" s="4">
        <f t="shared" si="24"/>
        <v>5842.2</v>
      </c>
      <c r="P775" s="4">
        <f t="shared" si="25"/>
        <v>69057.8</v>
      </c>
      <c r="Q775" s="3" t="s">
        <v>40</v>
      </c>
      <c r="R775" s="3" t="s">
        <v>67</v>
      </c>
      <c r="S775" s="3" t="s">
        <v>68</v>
      </c>
      <c r="T775" s="3" t="s">
        <v>26</v>
      </c>
    </row>
    <row r="776" spans="1:20" ht="15" customHeight="1" x14ac:dyDescent="0.3">
      <c r="A776" s="3" t="s">
        <v>2260</v>
      </c>
      <c r="B776" s="3" t="s">
        <v>181</v>
      </c>
      <c r="C776" s="3" t="s">
        <v>4</v>
      </c>
      <c r="D776" s="3" t="s">
        <v>1653</v>
      </c>
      <c r="E776" s="3" t="s">
        <v>2261</v>
      </c>
      <c r="F776" s="3" t="s">
        <v>134</v>
      </c>
      <c r="G776" s="3" t="s">
        <v>118</v>
      </c>
      <c r="H776" s="3" t="s">
        <v>20</v>
      </c>
      <c r="I776" s="3">
        <v>350</v>
      </c>
      <c r="J776" s="3" t="s">
        <v>96</v>
      </c>
      <c r="K776" s="3" t="s">
        <v>5</v>
      </c>
      <c r="L776" s="3" t="s">
        <v>90</v>
      </c>
      <c r="M776" s="4">
        <v>159900</v>
      </c>
      <c r="N776" s="5">
        <v>5.0999999999999996</v>
      </c>
      <c r="O776" s="4">
        <f t="shared" si="24"/>
        <v>8154.9</v>
      </c>
      <c r="P776" s="4">
        <f t="shared" si="25"/>
        <v>151745.1</v>
      </c>
      <c r="Q776" s="3" t="s">
        <v>25</v>
      </c>
      <c r="R776" s="3" t="s">
        <v>68</v>
      </c>
      <c r="S776" s="3" t="s">
        <v>68</v>
      </c>
      <c r="T776" s="3" t="s">
        <v>29</v>
      </c>
    </row>
    <row r="777" spans="1:20" ht="15" customHeight="1" x14ac:dyDescent="0.3">
      <c r="A777" s="3" t="s">
        <v>2262</v>
      </c>
      <c r="B777" s="3" t="s">
        <v>873</v>
      </c>
      <c r="C777" s="3" t="s">
        <v>6</v>
      </c>
      <c r="D777" s="3" t="s">
        <v>2263</v>
      </c>
      <c r="E777" s="3" t="s">
        <v>2264</v>
      </c>
      <c r="F777" s="3" t="s">
        <v>117</v>
      </c>
      <c r="G777" s="3" t="s">
        <v>135</v>
      </c>
      <c r="H777" s="3" t="s">
        <v>19</v>
      </c>
      <c r="I777" s="3">
        <v>160</v>
      </c>
      <c r="J777" s="3" t="s">
        <v>164</v>
      </c>
      <c r="K777" s="3" t="s">
        <v>9</v>
      </c>
      <c r="L777" s="3" t="s">
        <v>97</v>
      </c>
      <c r="M777" s="4">
        <v>124900</v>
      </c>
      <c r="N777" s="5">
        <v>10.5</v>
      </c>
      <c r="O777" s="4">
        <f t="shared" si="24"/>
        <v>13114.5</v>
      </c>
      <c r="P777" s="4">
        <f t="shared" si="25"/>
        <v>111785.5</v>
      </c>
      <c r="Q777" s="3" t="s">
        <v>25</v>
      </c>
      <c r="R777" s="3" t="s">
        <v>67</v>
      </c>
      <c r="S777" s="3" t="s">
        <v>67</v>
      </c>
      <c r="T777" s="3" t="s">
        <v>26</v>
      </c>
    </row>
    <row r="778" spans="1:20" ht="15" customHeight="1" x14ac:dyDescent="0.3">
      <c r="A778" s="3" t="s">
        <v>2265</v>
      </c>
      <c r="B778" s="3" t="s">
        <v>99</v>
      </c>
      <c r="C778" s="3" t="s">
        <v>13</v>
      </c>
      <c r="D778" s="3" t="s">
        <v>608</v>
      </c>
      <c r="E778" s="3" t="s">
        <v>2266</v>
      </c>
      <c r="F778" s="3" t="s">
        <v>145</v>
      </c>
      <c r="G778" s="3" t="s">
        <v>64</v>
      </c>
      <c r="H778" s="3" t="s">
        <v>19</v>
      </c>
      <c r="I778" s="3">
        <v>200</v>
      </c>
      <c r="J778" s="3" t="s">
        <v>119</v>
      </c>
      <c r="K778" s="3" t="s">
        <v>5</v>
      </c>
      <c r="L778" s="3" t="s">
        <v>74</v>
      </c>
      <c r="M778" s="4">
        <v>199900</v>
      </c>
      <c r="N778" s="5">
        <v>12</v>
      </c>
      <c r="O778" s="4">
        <f t="shared" si="24"/>
        <v>23988</v>
      </c>
      <c r="P778" s="4">
        <f t="shared" si="25"/>
        <v>175912</v>
      </c>
      <c r="Q778" s="3" t="s">
        <v>28</v>
      </c>
      <c r="R778" s="3" t="s">
        <v>68</v>
      </c>
      <c r="S778" s="3" t="s">
        <v>68</v>
      </c>
      <c r="T778" s="3" t="s">
        <v>26</v>
      </c>
    </row>
    <row r="779" spans="1:20" ht="15" customHeight="1" x14ac:dyDescent="0.3">
      <c r="A779" s="3" t="s">
        <v>2267</v>
      </c>
      <c r="B779" s="3" t="s">
        <v>60</v>
      </c>
      <c r="C779" s="3" t="s">
        <v>16</v>
      </c>
      <c r="D779" s="3" t="s">
        <v>541</v>
      </c>
      <c r="E779" s="3" t="s">
        <v>2268</v>
      </c>
      <c r="F779" s="3" t="s">
        <v>174</v>
      </c>
      <c r="G779" s="3" t="s">
        <v>184</v>
      </c>
      <c r="H779" s="3" t="s">
        <v>18</v>
      </c>
      <c r="I779" s="3">
        <v>125</v>
      </c>
      <c r="J779" s="3" t="s">
        <v>81</v>
      </c>
      <c r="K779" s="3" t="s">
        <v>5</v>
      </c>
      <c r="L779" s="3" t="s">
        <v>103</v>
      </c>
      <c r="M779" s="4">
        <v>79900</v>
      </c>
      <c r="N779" s="5">
        <v>11.1</v>
      </c>
      <c r="O779" s="4">
        <f t="shared" si="24"/>
        <v>8868.9</v>
      </c>
      <c r="P779" s="4">
        <f t="shared" si="25"/>
        <v>71031.100000000006</v>
      </c>
      <c r="Q779" s="3" t="s">
        <v>31</v>
      </c>
      <c r="R779" s="3" t="s">
        <v>67</v>
      </c>
      <c r="S779" s="3" t="s">
        <v>68</v>
      </c>
      <c r="T779" s="3" t="s">
        <v>26</v>
      </c>
    </row>
    <row r="780" spans="1:20" ht="15" customHeight="1" x14ac:dyDescent="0.3">
      <c r="A780" s="3" t="s">
        <v>2269</v>
      </c>
      <c r="B780" s="3" t="s">
        <v>391</v>
      </c>
      <c r="C780" s="3" t="s">
        <v>6</v>
      </c>
      <c r="D780" s="3" t="s">
        <v>1312</v>
      </c>
      <c r="E780" s="3" t="s">
        <v>2270</v>
      </c>
      <c r="F780" s="3" t="s">
        <v>117</v>
      </c>
      <c r="G780" s="3" t="s">
        <v>146</v>
      </c>
      <c r="H780" s="3" t="s">
        <v>18</v>
      </c>
      <c r="I780" s="3">
        <v>110</v>
      </c>
      <c r="J780" s="3" t="s">
        <v>102</v>
      </c>
      <c r="K780" s="3" t="s">
        <v>11</v>
      </c>
      <c r="L780" s="3" t="s">
        <v>82</v>
      </c>
      <c r="M780" s="4">
        <v>74900</v>
      </c>
      <c r="N780" s="5">
        <v>8.1999999999999993</v>
      </c>
      <c r="O780" s="4">
        <f t="shared" si="24"/>
        <v>6141.8</v>
      </c>
      <c r="P780" s="4">
        <f t="shared" si="25"/>
        <v>68758.2</v>
      </c>
      <c r="Q780" s="3" t="s">
        <v>36</v>
      </c>
      <c r="R780" s="3" t="s">
        <v>67</v>
      </c>
      <c r="S780" s="3" t="s">
        <v>68</v>
      </c>
      <c r="T780" s="3" t="s">
        <v>26</v>
      </c>
    </row>
    <row r="781" spans="1:20" ht="15" customHeight="1" x14ac:dyDescent="0.3">
      <c r="A781" s="3" t="s">
        <v>2271</v>
      </c>
      <c r="B781" s="3" t="s">
        <v>114</v>
      </c>
      <c r="C781" s="3" t="s">
        <v>4</v>
      </c>
      <c r="D781" s="3" t="s">
        <v>228</v>
      </c>
      <c r="E781" s="3" t="s">
        <v>2272</v>
      </c>
      <c r="F781" s="3" t="s">
        <v>145</v>
      </c>
      <c r="G781" s="3" t="s">
        <v>73</v>
      </c>
      <c r="H781" s="3" t="s">
        <v>21</v>
      </c>
      <c r="I781" s="3">
        <v>110</v>
      </c>
      <c r="J781" s="3" t="s">
        <v>65</v>
      </c>
      <c r="K781" s="3" t="s">
        <v>7</v>
      </c>
      <c r="L781" s="3" t="s">
        <v>82</v>
      </c>
      <c r="M781" s="4">
        <v>79900</v>
      </c>
      <c r="N781" s="5">
        <v>4.7</v>
      </c>
      <c r="O781" s="4">
        <f t="shared" si="24"/>
        <v>3755.3</v>
      </c>
      <c r="P781" s="4">
        <f t="shared" si="25"/>
        <v>76144.7</v>
      </c>
      <c r="Q781" s="3" t="s">
        <v>40</v>
      </c>
      <c r="R781" s="3" t="s">
        <v>68</v>
      </c>
      <c r="S781" s="3" t="s">
        <v>68</v>
      </c>
      <c r="T781" s="3" t="s">
        <v>29</v>
      </c>
    </row>
    <row r="782" spans="1:20" ht="15" customHeight="1" x14ac:dyDescent="0.3">
      <c r="A782" s="3" t="s">
        <v>2273</v>
      </c>
      <c r="B782" s="3" t="s">
        <v>901</v>
      </c>
      <c r="C782" s="3" t="s">
        <v>6</v>
      </c>
      <c r="D782" s="3" t="s">
        <v>570</v>
      </c>
      <c r="E782" s="3" t="s">
        <v>2274</v>
      </c>
      <c r="F782" s="3" t="s">
        <v>63</v>
      </c>
      <c r="G782" s="3" t="s">
        <v>184</v>
      </c>
      <c r="H782" s="3" t="s">
        <v>18</v>
      </c>
      <c r="I782" s="3">
        <v>125</v>
      </c>
      <c r="J782" s="3" t="s">
        <v>89</v>
      </c>
      <c r="K782" s="3" t="s">
        <v>5</v>
      </c>
      <c r="L782" s="3" t="s">
        <v>136</v>
      </c>
      <c r="M782" s="4">
        <v>79900</v>
      </c>
      <c r="N782" s="5">
        <v>13.9</v>
      </c>
      <c r="O782" s="4">
        <f t="shared" si="24"/>
        <v>11106.1</v>
      </c>
      <c r="P782" s="4">
        <f t="shared" si="25"/>
        <v>68793.899999999994</v>
      </c>
      <c r="Q782" s="3" t="s">
        <v>31</v>
      </c>
      <c r="R782" s="3" t="s">
        <v>67</v>
      </c>
      <c r="S782" s="3" t="s">
        <v>67</v>
      </c>
      <c r="T782" s="3" t="s">
        <v>32</v>
      </c>
    </row>
    <row r="783" spans="1:20" ht="15" customHeight="1" x14ac:dyDescent="0.3">
      <c r="A783" s="3" t="s">
        <v>2275</v>
      </c>
      <c r="B783" s="3" t="s">
        <v>826</v>
      </c>
      <c r="C783" s="3" t="s">
        <v>0</v>
      </c>
      <c r="D783" s="3" t="s">
        <v>1453</v>
      </c>
      <c r="E783" s="3" t="s">
        <v>2276</v>
      </c>
      <c r="F783" s="3" t="s">
        <v>87</v>
      </c>
      <c r="G783" s="3" t="s">
        <v>201</v>
      </c>
      <c r="H783" s="3" t="s">
        <v>19</v>
      </c>
      <c r="I783" s="3">
        <v>160</v>
      </c>
      <c r="J783" s="3" t="s">
        <v>179</v>
      </c>
      <c r="K783" s="3" t="s">
        <v>1</v>
      </c>
      <c r="L783" s="3" t="s">
        <v>90</v>
      </c>
      <c r="M783" s="4">
        <v>129900</v>
      </c>
      <c r="N783" s="5">
        <v>7.8</v>
      </c>
      <c r="O783" s="4">
        <f t="shared" si="24"/>
        <v>10132.200000000001</v>
      </c>
      <c r="P783" s="4">
        <f t="shared" si="25"/>
        <v>119767.8</v>
      </c>
      <c r="Q783" s="3" t="s">
        <v>36</v>
      </c>
      <c r="R783" s="3" t="s">
        <v>67</v>
      </c>
      <c r="S783" s="3" t="s">
        <v>68</v>
      </c>
      <c r="T783" s="3" t="s">
        <v>32</v>
      </c>
    </row>
    <row r="784" spans="1:20" ht="15" customHeight="1" x14ac:dyDescent="0.3">
      <c r="A784" s="3" t="s">
        <v>2277</v>
      </c>
      <c r="B784" s="3" t="s">
        <v>142</v>
      </c>
      <c r="C784" s="3" t="s">
        <v>10</v>
      </c>
      <c r="D784" s="3" t="s">
        <v>2278</v>
      </c>
      <c r="E784" s="3" t="s">
        <v>2279</v>
      </c>
      <c r="F784" s="3" t="s">
        <v>63</v>
      </c>
      <c r="G784" s="3" t="s">
        <v>211</v>
      </c>
      <c r="H784" s="3" t="s">
        <v>20</v>
      </c>
      <c r="I784" s="3">
        <v>350</v>
      </c>
      <c r="J784" s="3" t="s">
        <v>129</v>
      </c>
      <c r="K784" s="3" t="s">
        <v>7</v>
      </c>
      <c r="L784" s="3" t="s">
        <v>90</v>
      </c>
      <c r="M784" s="4">
        <v>199900</v>
      </c>
      <c r="N784" s="5">
        <v>8.6</v>
      </c>
      <c r="O784" s="4">
        <f t="shared" si="24"/>
        <v>17191.400000000001</v>
      </c>
      <c r="P784" s="4">
        <f t="shared" si="25"/>
        <v>182708.6</v>
      </c>
      <c r="Q784" s="3" t="s">
        <v>25</v>
      </c>
      <c r="R784" s="3" t="s">
        <v>67</v>
      </c>
      <c r="S784" s="3" t="s">
        <v>68</v>
      </c>
      <c r="T784" s="3" t="s">
        <v>26</v>
      </c>
    </row>
    <row r="785" spans="1:20" ht="15" customHeight="1" x14ac:dyDescent="0.3">
      <c r="A785" s="3" t="s">
        <v>2280</v>
      </c>
      <c r="B785" s="3" t="s">
        <v>1067</v>
      </c>
      <c r="C785" s="3" t="s">
        <v>17</v>
      </c>
      <c r="D785" s="3" t="s">
        <v>2281</v>
      </c>
      <c r="E785" s="3" t="s">
        <v>2282</v>
      </c>
      <c r="F785" s="3" t="s">
        <v>87</v>
      </c>
      <c r="G785" s="3" t="s">
        <v>184</v>
      </c>
      <c r="H785" s="3" t="s">
        <v>18</v>
      </c>
      <c r="I785" s="3">
        <v>125</v>
      </c>
      <c r="J785" s="3" t="s">
        <v>65</v>
      </c>
      <c r="K785" s="3" t="s">
        <v>9</v>
      </c>
      <c r="L785" s="3" t="s">
        <v>66</v>
      </c>
      <c r="M785" s="4">
        <v>79900</v>
      </c>
      <c r="N785" s="5">
        <v>11.9</v>
      </c>
      <c r="O785" s="4">
        <f t="shared" si="24"/>
        <v>9508.1</v>
      </c>
      <c r="P785" s="4">
        <f t="shared" si="25"/>
        <v>70391.899999999994</v>
      </c>
      <c r="Q785" s="3" t="s">
        <v>34</v>
      </c>
      <c r="R785" s="3" t="s">
        <v>67</v>
      </c>
      <c r="S785" s="3" t="s">
        <v>67</v>
      </c>
      <c r="T785" s="3" t="s">
        <v>26</v>
      </c>
    </row>
    <row r="786" spans="1:20" ht="15" customHeight="1" x14ac:dyDescent="0.3">
      <c r="A786" s="3" t="s">
        <v>2283</v>
      </c>
      <c r="B786" s="3" t="s">
        <v>208</v>
      </c>
      <c r="C786" s="3" t="s">
        <v>2</v>
      </c>
      <c r="D786" s="3" t="s">
        <v>353</v>
      </c>
      <c r="E786" s="3" t="s">
        <v>2284</v>
      </c>
      <c r="F786" s="3" t="s">
        <v>145</v>
      </c>
      <c r="G786" s="3" t="s">
        <v>189</v>
      </c>
      <c r="H786" s="3" t="s">
        <v>18</v>
      </c>
      <c r="I786" s="3">
        <v>100</v>
      </c>
      <c r="J786" s="3" t="s">
        <v>243</v>
      </c>
      <c r="K786" s="3" t="s">
        <v>5</v>
      </c>
      <c r="L786" s="3" t="s">
        <v>90</v>
      </c>
      <c r="M786" s="4">
        <v>72900</v>
      </c>
      <c r="N786" s="5">
        <v>12.8</v>
      </c>
      <c r="O786" s="4">
        <f t="shared" si="24"/>
        <v>9331.2000000000007</v>
      </c>
      <c r="P786" s="4">
        <f t="shared" si="25"/>
        <v>63568.800000000003</v>
      </c>
      <c r="Q786" s="3" t="s">
        <v>25</v>
      </c>
      <c r="R786" s="3" t="s">
        <v>68</v>
      </c>
      <c r="S786" s="3" t="s">
        <v>67</v>
      </c>
      <c r="T786" s="3" t="s">
        <v>32</v>
      </c>
    </row>
    <row r="787" spans="1:20" ht="15" customHeight="1" x14ac:dyDescent="0.3">
      <c r="A787" s="3" t="s">
        <v>2285</v>
      </c>
      <c r="B787" s="3" t="s">
        <v>249</v>
      </c>
      <c r="C787" s="3" t="s">
        <v>13</v>
      </c>
      <c r="D787" s="3" t="s">
        <v>2286</v>
      </c>
      <c r="E787" s="3" t="s">
        <v>2287</v>
      </c>
      <c r="F787" s="3" t="s">
        <v>134</v>
      </c>
      <c r="G787" s="3" t="s">
        <v>316</v>
      </c>
      <c r="H787" s="3" t="s">
        <v>19</v>
      </c>
      <c r="I787" s="3">
        <v>150</v>
      </c>
      <c r="J787" s="3" t="s">
        <v>102</v>
      </c>
      <c r="K787" s="3" t="s">
        <v>5</v>
      </c>
      <c r="L787" s="3" t="s">
        <v>90</v>
      </c>
      <c r="M787" s="4">
        <v>109900</v>
      </c>
      <c r="N787" s="5">
        <v>12.3</v>
      </c>
      <c r="O787" s="4">
        <f t="shared" si="24"/>
        <v>13517.7</v>
      </c>
      <c r="P787" s="4">
        <f t="shared" si="25"/>
        <v>96382.3</v>
      </c>
      <c r="Q787" s="3" t="s">
        <v>40</v>
      </c>
      <c r="R787" s="3" t="s">
        <v>67</v>
      </c>
      <c r="S787" s="3" t="s">
        <v>67</v>
      </c>
      <c r="T787" s="3" t="s">
        <v>26</v>
      </c>
    </row>
    <row r="788" spans="1:20" ht="15" customHeight="1" x14ac:dyDescent="0.3">
      <c r="A788" s="3" t="s">
        <v>2288</v>
      </c>
      <c r="B788" s="3" t="s">
        <v>564</v>
      </c>
      <c r="C788" s="3" t="s">
        <v>13</v>
      </c>
      <c r="D788" s="3" t="s">
        <v>2289</v>
      </c>
      <c r="E788" s="3" t="s">
        <v>2290</v>
      </c>
      <c r="F788" s="3" t="s">
        <v>87</v>
      </c>
      <c r="G788" s="3" t="s">
        <v>211</v>
      </c>
      <c r="H788" s="3" t="s">
        <v>20</v>
      </c>
      <c r="I788" s="3">
        <v>350</v>
      </c>
      <c r="J788" s="3" t="s">
        <v>81</v>
      </c>
      <c r="K788" s="3" t="s">
        <v>7</v>
      </c>
      <c r="L788" s="3" t="s">
        <v>74</v>
      </c>
      <c r="M788" s="4">
        <v>199900</v>
      </c>
      <c r="N788" s="5">
        <v>7</v>
      </c>
      <c r="O788" s="4">
        <f t="shared" si="24"/>
        <v>13993</v>
      </c>
      <c r="P788" s="4">
        <f t="shared" si="25"/>
        <v>185907</v>
      </c>
      <c r="Q788" s="3" t="s">
        <v>28</v>
      </c>
      <c r="R788" s="3" t="s">
        <v>68</v>
      </c>
      <c r="S788" s="3" t="s">
        <v>67</v>
      </c>
      <c r="T788" s="3" t="s">
        <v>26</v>
      </c>
    </row>
    <row r="789" spans="1:20" ht="15" customHeight="1" x14ac:dyDescent="0.3">
      <c r="A789" s="3" t="s">
        <v>2291</v>
      </c>
      <c r="B789" s="3" t="s">
        <v>131</v>
      </c>
      <c r="C789" s="3" t="s">
        <v>15</v>
      </c>
      <c r="D789" s="3" t="s">
        <v>1038</v>
      </c>
      <c r="E789" s="3" t="s">
        <v>2292</v>
      </c>
      <c r="F789" s="3" t="s">
        <v>63</v>
      </c>
      <c r="G789" s="3" t="s">
        <v>146</v>
      </c>
      <c r="H789" s="3" t="s">
        <v>18</v>
      </c>
      <c r="I789" s="3">
        <v>110</v>
      </c>
      <c r="J789" s="3" t="s">
        <v>129</v>
      </c>
      <c r="K789" s="3" t="s">
        <v>11</v>
      </c>
      <c r="L789" s="3" t="s">
        <v>103</v>
      </c>
      <c r="M789" s="4">
        <v>74900</v>
      </c>
      <c r="N789" s="5">
        <v>13.5</v>
      </c>
      <c r="O789" s="4">
        <f t="shared" si="24"/>
        <v>10111.5</v>
      </c>
      <c r="P789" s="4">
        <f t="shared" si="25"/>
        <v>64788.5</v>
      </c>
      <c r="Q789" s="3" t="s">
        <v>34</v>
      </c>
      <c r="R789" s="3" t="s">
        <v>67</v>
      </c>
      <c r="S789" s="3" t="s">
        <v>67</v>
      </c>
      <c r="T789" s="3" t="s">
        <v>32</v>
      </c>
    </row>
    <row r="790" spans="1:20" ht="15" customHeight="1" x14ac:dyDescent="0.3">
      <c r="A790" s="3" t="s">
        <v>2293</v>
      </c>
      <c r="B790" s="3" t="s">
        <v>289</v>
      </c>
      <c r="C790" s="3" t="s">
        <v>4</v>
      </c>
      <c r="D790" s="3" t="s">
        <v>1162</v>
      </c>
      <c r="E790" s="3" t="s">
        <v>2294</v>
      </c>
      <c r="F790" s="3" t="s">
        <v>63</v>
      </c>
      <c r="G790" s="3" t="s">
        <v>222</v>
      </c>
      <c r="H790" s="3" t="s">
        <v>19</v>
      </c>
      <c r="I790" s="3">
        <v>155</v>
      </c>
      <c r="J790" s="3" t="s">
        <v>164</v>
      </c>
      <c r="K790" s="3" t="s">
        <v>11</v>
      </c>
      <c r="L790" s="3" t="s">
        <v>82</v>
      </c>
      <c r="M790" s="4">
        <v>167900</v>
      </c>
      <c r="N790" s="5">
        <v>11.8</v>
      </c>
      <c r="O790" s="4">
        <f t="shared" si="24"/>
        <v>19812.2</v>
      </c>
      <c r="P790" s="4">
        <f t="shared" si="25"/>
        <v>148087.79999999999</v>
      </c>
      <c r="Q790" s="3" t="s">
        <v>28</v>
      </c>
      <c r="R790" s="3" t="s">
        <v>67</v>
      </c>
      <c r="S790" s="3" t="s">
        <v>68</v>
      </c>
      <c r="T790" s="3" t="s">
        <v>26</v>
      </c>
    </row>
    <row r="791" spans="1:20" ht="15" customHeight="1" x14ac:dyDescent="0.3">
      <c r="A791" s="3" t="s">
        <v>2295</v>
      </c>
      <c r="B791" s="3" t="s">
        <v>76</v>
      </c>
      <c r="C791" s="3" t="s">
        <v>4</v>
      </c>
      <c r="D791" s="3" t="s">
        <v>1244</v>
      </c>
      <c r="E791" s="3" t="s">
        <v>2296</v>
      </c>
      <c r="F791" s="3" t="s">
        <v>145</v>
      </c>
      <c r="G791" s="3" t="s">
        <v>222</v>
      </c>
      <c r="H791" s="3" t="s">
        <v>19</v>
      </c>
      <c r="I791" s="3">
        <v>155</v>
      </c>
      <c r="J791" s="3" t="s">
        <v>164</v>
      </c>
      <c r="K791" s="3" t="s">
        <v>3</v>
      </c>
      <c r="L791" s="3" t="s">
        <v>97</v>
      </c>
      <c r="M791" s="4">
        <v>167900</v>
      </c>
      <c r="N791" s="5">
        <v>4.5999999999999996</v>
      </c>
      <c r="O791" s="4">
        <f t="shared" si="24"/>
        <v>7723.3999999999987</v>
      </c>
      <c r="P791" s="4">
        <f t="shared" si="25"/>
        <v>160176.6</v>
      </c>
      <c r="Q791" s="3" t="s">
        <v>38</v>
      </c>
      <c r="R791" s="3" t="s">
        <v>68</v>
      </c>
      <c r="S791" s="3" t="s">
        <v>68</v>
      </c>
      <c r="T791" s="3" t="s">
        <v>32</v>
      </c>
    </row>
    <row r="792" spans="1:20" ht="15" customHeight="1" x14ac:dyDescent="0.3">
      <c r="A792" s="3" t="s">
        <v>2297</v>
      </c>
      <c r="B792" s="3" t="s">
        <v>806</v>
      </c>
      <c r="C792" s="3" t="s">
        <v>2</v>
      </c>
      <c r="D792" s="3" t="s">
        <v>2298</v>
      </c>
      <c r="E792" s="3" t="s">
        <v>2299</v>
      </c>
      <c r="F792" s="3" t="s">
        <v>124</v>
      </c>
      <c r="G792" s="3" t="s">
        <v>146</v>
      </c>
      <c r="H792" s="3" t="s">
        <v>18</v>
      </c>
      <c r="I792" s="3">
        <v>110</v>
      </c>
      <c r="J792" s="3" t="s">
        <v>119</v>
      </c>
      <c r="K792" s="3" t="s">
        <v>5</v>
      </c>
      <c r="L792" s="3" t="s">
        <v>136</v>
      </c>
      <c r="M792" s="4">
        <v>74900</v>
      </c>
      <c r="N792" s="5">
        <v>8.4</v>
      </c>
      <c r="O792" s="4">
        <f t="shared" si="24"/>
        <v>6291.6</v>
      </c>
      <c r="P792" s="4">
        <f t="shared" si="25"/>
        <v>68608.399999999994</v>
      </c>
      <c r="Q792" s="3" t="s">
        <v>34</v>
      </c>
      <c r="R792" s="3" t="s">
        <v>68</v>
      </c>
      <c r="S792" s="3" t="s">
        <v>68</v>
      </c>
      <c r="T792" s="3" t="s">
        <v>26</v>
      </c>
    </row>
    <row r="793" spans="1:20" ht="15" customHeight="1" x14ac:dyDescent="0.3">
      <c r="A793" s="3" t="s">
        <v>2300</v>
      </c>
      <c r="B793" s="3" t="s">
        <v>1070</v>
      </c>
      <c r="C793" s="3" t="s">
        <v>0</v>
      </c>
      <c r="D793" s="3" t="s">
        <v>555</v>
      </c>
      <c r="E793" s="3" t="s">
        <v>2301</v>
      </c>
      <c r="F793" s="3" t="s">
        <v>112</v>
      </c>
      <c r="G793" s="3" t="s">
        <v>169</v>
      </c>
      <c r="H793" s="3" t="s">
        <v>18</v>
      </c>
      <c r="I793" s="3">
        <v>162</v>
      </c>
      <c r="J793" s="3" t="s">
        <v>179</v>
      </c>
      <c r="K793" s="3" t="s">
        <v>7</v>
      </c>
      <c r="L793" s="3" t="s">
        <v>74</v>
      </c>
      <c r="M793" s="4">
        <v>124900</v>
      </c>
      <c r="N793" s="5">
        <v>14.3</v>
      </c>
      <c r="O793" s="4">
        <f t="shared" si="24"/>
        <v>17860.7</v>
      </c>
      <c r="P793" s="4">
        <f t="shared" si="25"/>
        <v>107039.3</v>
      </c>
      <c r="Q793" s="3" t="s">
        <v>28</v>
      </c>
      <c r="R793" s="3" t="s">
        <v>67</v>
      </c>
      <c r="S793" s="3" t="s">
        <v>68</v>
      </c>
      <c r="T793" s="3" t="s">
        <v>29</v>
      </c>
    </row>
    <row r="794" spans="1:20" ht="15" customHeight="1" x14ac:dyDescent="0.3">
      <c r="A794" s="3" t="s">
        <v>2302</v>
      </c>
      <c r="B794" s="3" t="s">
        <v>186</v>
      </c>
      <c r="C794" s="3" t="s">
        <v>6</v>
      </c>
      <c r="D794" s="3" t="s">
        <v>2303</v>
      </c>
      <c r="E794" s="3" t="s">
        <v>2304</v>
      </c>
      <c r="F794" s="3" t="s">
        <v>134</v>
      </c>
      <c r="G794" s="3" t="s">
        <v>201</v>
      </c>
      <c r="H794" s="3" t="s">
        <v>19</v>
      </c>
      <c r="I794" s="3">
        <v>160</v>
      </c>
      <c r="J794" s="3" t="s">
        <v>102</v>
      </c>
      <c r="K794" s="3" t="s">
        <v>7</v>
      </c>
      <c r="L794" s="3" t="s">
        <v>66</v>
      </c>
      <c r="M794" s="4">
        <v>129900</v>
      </c>
      <c r="N794" s="5">
        <v>6.9</v>
      </c>
      <c r="O794" s="4">
        <f t="shared" si="24"/>
        <v>8963.1</v>
      </c>
      <c r="P794" s="4">
        <f t="shared" si="25"/>
        <v>120936.9</v>
      </c>
      <c r="Q794" s="3" t="s">
        <v>34</v>
      </c>
      <c r="R794" s="3" t="s">
        <v>67</v>
      </c>
      <c r="S794" s="3" t="s">
        <v>68</v>
      </c>
      <c r="T794" s="3" t="s">
        <v>26</v>
      </c>
    </row>
    <row r="795" spans="1:20" ht="15" customHeight="1" x14ac:dyDescent="0.3">
      <c r="A795" s="3" t="s">
        <v>2305</v>
      </c>
      <c r="B795" s="3" t="s">
        <v>272</v>
      </c>
      <c r="C795" s="3" t="s">
        <v>0</v>
      </c>
      <c r="D795" s="3" t="s">
        <v>2306</v>
      </c>
      <c r="E795" s="3" t="s">
        <v>2307</v>
      </c>
      <c r="F795" s="3" t="s">
        <v>145</v>
      </c>
      <c r="G795" s="3" t="s">
        <v>156</v>
      </c>
      <c r="H795" s="3" t="s">
        <v>21</v>
      </c>
      <c r="I795" s="3">
        <v>125</v>
      </c>
      <c r="J795" s="3" t="s">
        <v>81</v>
      </c>
      <c r="K795" s="3" t="s">
        <v>7</v>
      </c>
      <c r="L795" s="3" t="s">
        <v>66</v>
      </c>
      <c r="M795" s="4">
        <v>88900</v>
      </c>
      <c r="N795" s="5">
        <v>3.8</v>
      </c>
      <c r="O795" s="4">
        <f t="shared" si="24"/>
        <v>3378.2</v>
      </c>
      <c r="P795" s="4">
        <f t="shared" si="25"/>
        <v>85521.8</v>
      </c>
      <c r="Q795" s="3" t="s">
        <v>31</v>
      </c>
      <c r="R795" s="3" t="s">
        <v>67</v>
      </c>
      <c r="S795" s="3" t="s">
        <v>68</v>
      </c>
      <c r="T795" s="3" t="s">
        <v>26</v>
      </c>
    </row>
    <row r="796" spans="1:20" ht="15" customHeight="1" x14ac:dyDescent="0.3">
      <c r="A796" s="3" t="s">
        <v>2308</v>
      </c>
      <c r="B796" s="3" t="s">
        <v>268</v>
      </c>
      <c r="C796" s="3" t="s">
        <v>4</v>
      </c>
      <c r="D796" s="3" t="s">
        <v>2309</v>
      </c>
      <c r="E796" s="3" t="s">
        <v>2310</v>
      </c>
      <c r="F796" s="3" t="s">
        <v>174</v>
      </c>
      <c r="G796" s="3" t="s">
        <v>73</v>
      </c>
      <c r="H796" s="3" t="s">
        <v>21</v>
      </c>
      <c r="I796" s="3">
        <v>110</v>
      </c>
      <c r="J796" s="3" t="s">
        <v>179</v>
      </c>
      <c r="K796" s="3" t="s">
        <v>9</v>
      </c>
      <c r="L796" s="3" t="s">
        <v>74</v>
      </c>
      <c r="M796" s="4">
        <v>79900</v>
      </c>
      <c r="N796" s="5">
        <v>9.1999999999999993</v>
      </c>
      <c r="O796" s="4">
        <f t="shared" si="24"/>
        <v>7350.8</v>
      </c>
      <c r="P796" s="4">
        <f t="shared" si="25"/>
        <v>72549.2</v>
      </c>
      <c r="Q796" s="3" t="s">
        <v>25</v>
      </c>
      <c r="R796" s="3" t="s">
        <v>67</v>
      </c>
      <c r="S796" s="3" t="s">
        <v>68</v>
      </c>
      <c r="T796" s="3" t="s">
        <v>29</v>
      </c>
    </row>
    <row r="797" spans="1:20" ht="15" customHeight="1" x14ac:dyDescent="0.3">
      <c r="A797" s="3" t="s">
        <v>2311</v>
      </c>
      <c r="B797" s="3" t="s">
        <v>148</v>
      </c>
      <c r="C797" s="3" t="s">
        <v>8</v>
      </c>
      <c r="D797" s="3" t="s">
        <v>939</v>
      </c>
      <c r="E797" s="3" t="s">
        <v>2312</v>
      </c>
      <c r="F797" s="3" t="s">
        <v>112</v>
      </c>
      <c r="G797" s="3" t="s">
        <v>64</v>
      </c>
      <c r="H797" s="3" t="s">
        <v>19</v>
      </c>
      <c r="I797" s="3">
        <v>200</v>
      </c>
      <c r="J797" s="3" t="s">
        <v>89</v>
      </c>
      <c r="K797" s="3" t="s">
        <v>5</v>
      </c>
      <c r="L797" s="3" t="s">
        <v>74</v>
      </c>
      <c r="M797" s="4">
        <v>199900</v>
      </c>
      <c r="N797" s="5">
        <v>11.7</v>
      </c>
      <c r="O797" s="4">
        <f t="shared" si="24"/>
        <v>23388.3</v>
      </c>
      <c r="P797" s="4">
        <f t="shared" si="25"/>
        <v>176511.7</v>
      </c>
      <c r="Q797" s="3" t="s">
        <v>31</v>
      </c>
      <c r="R797" s="3" t="s">
        <v>67</v>
      </c>
      <c r="S797" s="3" t="s">
        <v>68</v>
      </c>
      <c r="T797" s="3" t="s">
        <v>26</v>
      </c>
    </row>
    <row r="798" spans="1:20" ht="15" customHeight="1" x14ac:dyDescent="0.3">
      <c r="A798" s="3" t="s">
        <v>2313</v>
      </c>
      <c r="B798" s="3" t="s">
        <v>176</v>
      </c>
      <c r="C798" s="3" t="s">
        <v>10</v>
      </c>
      <c r="D798" s="3" t="s">
        <v>1735</v>
      </c>
      <c r="E798" s="3" t="s">
        <v>2314</v>
      </c>
      <c r="F798" s="3" t="s">
        <v>134</v>
      </c>
      <c r="G798" s="3" t="s">
        <v>169</v>
      </c>
      <c r="H798" s="3" t="s">
        <v>18</v>
      </c>
      <c r="I798" s="3">
        <v>162</v>
      </c>
      <c r="J798" s="3" t="s">
        <v>119</v>
      </c>
      <c r="K798" s="3" t="s">
        <v>11</v>
      </c>
      <c r="L798" s="3" t="s">
        <v>136</v>
      </c>
      <c r="M798" s="4">
        <v>124900</v>
      </c>
      <c r="N798" s="5">
        <v>3.8</v>
      </c>
      <c r="O798" s="4">
        <f t="shared" si="24"/>
        <v>4746.2</v>
      </c>
      <c r="P798" s="4">
        <f t="shared" si="25"/>
        <v>120153.8</v>
      </c>
      <c r="Q798" s="3" t="s">
        <v>36</v>
      </c>
      <c r="R798" s="3" t="s">
        <v>67</v>
      </c>
      <c r="S798" s="3" t="s">
        <v>67</v>
      </c>
      <c r="T798" s="3" t="s">
        <v>26</v>
      </c>
    </row>
    <row r="799" spans="1:20" ht="15" customHeight="1" x14ac:dyDescent="0.3">
      <c r="A799" s="3" t="s">
        <v>2315</v>
      </c>
      <c r="B799" s="3" t="s">
        <v>272</v>
      </c>
      <c r="C799" s="3" t="s">
        <v>0</v>
      </c>
      <c r="D799" s="3" t="s">
        <v>1035</v>
      </c>
      <c r="E799" s="3" t="s">
        <v>2316</v>
      </c>
      <c r="F799" s="3" t="s">
        <v>124</v>
      </c>
      <c r="G799" s="3" t="s">
        <v>201</v>
      </c>
      <c r="H799" s="3" t="s">
        <v>19</v>
      </c>
      <c r="I799" s="3">
        <v>160</v>
      </c>
      <c r="J799" s="3" t="s">
        <v>102</v>
      </c>
      <c r="K799" s="3" t="s">
        <v>9</v>
      </c>
      <c r="L799" s="3" t="s">
        <v>74</v>
      </c>
      <c r="M799" s="4">
        <v>129900</v>
      </c>
      <c r="N799" s="5">
        <v>7.4</v>
      </c>
      <c r="O799" s="4">
        <f t="shared" si="24"/>
        <v>9612.6</v>
      </c>
      <c r="P799" s="4">
        <f t="shared" si="25"/>
        <v>120287.4</v>
      </c>
      <c r="Q799" s="3" t="s">
        <v>38</v>
      </c>
      <c r="R799" s="3" t="s">
        <v>67</v>
      </c>
      <c r="S799" s="3" t="s">
        <v>68</v>
      </c>
      <c r="T799" s="3" t="s">
        <v>26</v>
      </c>
    </row>
    <row r="800" spans="1:20" ht="15" customHeight="1" x14ac:dyDescent="0.3">
      <c r="A800" s="3" t="s">
        <v>2317</v>
      </c>
      <c r="B800" s="3" t="s">
        <v>395</v>
      </c>
      <c r="C800" s="3" t="s">
        <v>14</v>
      </c>
      <c r="D800" s="3" t="s">
        <v>1388</v>
      </c>
      <c r="E800" s="3" t="s">
        <v>2318</v>
      </c>
      <c r="F800" s="3" t="s">
        <v>87</v>
      </c>
      <c r="G800" s="3" t="s">
        <v>73</v>
      </c>
      <c r="H800" s="3" t="s">
        <v>21</v>
      </c>
      <c r="I800" s="3">
        <v>110</v>
      </c>
      <c r="J800" s="3" t="s">
        <v>89</v>
      </c>
      <c r="K800" s="3" t="s">
        <v>7</v>
      </c>
      <c r="L800" s="3" t="s">
        <v>97</v>
      </c>
      <c r="M800" s="4">
        <v>79900</v>
      </c>
      <c r="N800" s="5">
        <v>11.7</v>
      </c>
      <c r="O800" s="4">
        <f t="shared" si="24"/>
        <v>9348.2999999999993</v>
      </c>
      <c r="P800" s="4">
        <f t="shared" si="25"/>
        <v>70551.7</v>
      </c>
      <c r="Q800" s="3" t="s">
        <v>38</v>
      </c>
      <c r="R800" s="3" t="s">
        <v>67</v>
      </c>
      <c r="S800" s="3" t="s">
        <v>68</v>
      </c>
      <c r="T800" s="3" t="s">
        <v>26</v>
      </c>
    </row>
    <row r="801" spans="1:20" ht="15" customHeight="1" x14ac:dyDescent="0.3">
      <c r="A801" s="3" t="s">
        <v>2319</v>
      </c>
      <c r="B801" s="3" t="s">
        <v>448</v>
      </c>
      <c r="C801" s="3" t="s">
        <v>17</v>
      </c>
      <c r="D801" s="3" t="s">
        <v>680</v>
      </c>
      <c r="E801" s="3" t="s">
        <v>2320</v>
      </c>
      <c r="F801" s="3" t="s">
        <v>155</v>
      </c>
      <c r="G801" s="3" t="s">
        <v>73</v>
      </c>
      <c r="H801" s="3" t="s">
        <v>21</v>
      </c>
      <c r="I801" s="3">
        <v>110</v>
      </c>
      <c r="J801" s="3" t="s">
        <v>81</v>
      </c>
      <c r="K801" s="3" t="s">
        <v>9</v>
      </c>
      <c r="L801" s="3" t="s">
        <v>66</v>
      </c>
      <c r="M801" s="4">
        <v>79900</v>
      </c>
      <c r="N801" s="5">
        <v>6.7</v>
      </c>
      <c r="O801" s="4">
        <f t="shared" si="24"/>
        <v>5353.3</v>
      </c>
      <c r="P801" s="4">
        <f t="shared" si="25"/>
        <v>74546.7</v>
      </c>
      <c r="Q801" s="3" t="s">
        <v>28</v>
      </c>
      <c r="R801" s="3" t="s">
        <v>67</v>
      </c>
      <c r="S801" s="3" t="s">
        <v>67</v>
      </c>
      <c r="T801" s="3" t="s">
        <v>32</v>
      </c>
    </row>
    <row r="802" spans="1:20" ht="15" customHeight="1" x14ac:dyDescent="0.3">
      <c r="A802" s="3" t="s">
        <v>2321</v>
      </c>
      <c r="B802" s="3" t="s">
        <v>276</v>
      </c>
      <c r="C802" s="3" t="s">
        <v>12</v>
      </c>
      <c r="D802" s="3" t="s">
        <v>2322</v>
      </c>
      <c r="E802" s="3" t="s">
        <v>2323</v>
      </c>
      <c r="F802" s="3" t="s">
        <v>117</v>
      </c>
      <c r="G802" s="3" t="s">
        <v>118</v>
      </c>
      <c r="H802" s="3" t="s">
        <v>20</v>
      </c>
      <c r="I802" s="3">
        <v>350</v>
      </c>
      <c r="J802" s="3" t="s">
        <v>164</v>
      </c>
      <c r="K802" s="3" t="s">
        <v>5</v>
      </c>
      <c r="L802" s="3" t="s">
        <v>103</v>
      </c>
      <c r="M802" s="4">
        <v>159900</v>
      </c>
      <c r="N802" s="5">
        <v>11.3</v>
      </c>
      <c r="O802" s="4">
        <f t="shared" si="24"/>
        <v>18068.7</v>
      </c>
      <c r="P802" s="4">
        <f t="shared" si="25"/>
        <v>141831.29999999999</v>
      </c>
      <c r="Q802" s="3" t="s">
        <v>36</v>
      </c>
      <c r="R802" s="3" t="s">
        <v>67</v>
      </c>
      <c r="S802" s="3" t="s">
        <v>68</v>
      </c>
      <c r="T802" s="3" t="s">
        <v>29</v>
      </c>
    </row>
    <row r="803" spans="1:20" ht="15" customHeight="1" x14ac:dyDescent="0.3">
      <c r="A803" s="3" t="s">
        <v>2324</v>
      </c>
      <c r="B803" s="3" t="s">
        <v>186</v>
      </c>
      <c r="C803" s="3" t="s">
        <v>6</v>
      </c>
      <c r="D803" s="3" t="s">
        <v>2325</v>
      </c>
      <c r="E803" s="3" t="s">
        <v>2326</v>
      </c>
      <c r="F803" s="3" t="s">
        <v>134</v>
      </c>
      <c r="G803" s="3" t="s">
        <v>88</v>
      </c>
      <c r="H803" s="3" t="s">
        <v>18</v>
      </c>
      <c r="I803" s="3">
        <v>125</v>
      </c>
      <c r="J803" s="3" t="s">
        <v>179</v>
      </c>
      <c r="K803" s="3" t="s">
        <v>9</v>
      </c>
      <c r="L803" s="3" t="s">
        <v>90</v>
      </c>
      <c r="M803" s="4">
        <v>94900</v>
      </c>
      <c r="N803" s="5">
        <v>5.6</v>
      </c>
      <c r="O803" s="4">
        <f t="shared" si="24"/>
        <v>5314.4</v>
      </c>
      <c r="P803" s="4">
        <f t="shared" si="25"/>
        <v>89585.600000000006</v>
      </c>
      <c r="Q803" s="3" t="s">
        <v>25</v>
      </c>
      <c r="R803" s="3" t="s">
        <v>67</v>
      </c>
      <c r="S803" s="3" t="s">
        <v>67</v>
      </c>
      <c r="T803" s="3" t="s">
        <v>29</v>
      </c>
    </row>
    <row r="804" spans="1:20" ht="15" customHeight="1" x14ac:dyDescent="0.3">
      <c r="A804" s="3" t="s">
        <v>2327</v>
      </c>
      <c r="B804" s="3" t="s">
        <v>406</v>
      </c>
      <c r="C804" s="3" t="s">
        <v>17</v>
      </c>
      <c r="D804" s="3" t="s">
        <v>1235</v>
      </c>
      <c r="E804" s="3" t="s">
        <v>2328</v>
      </c>
      <c r="F804" s="3" t="s">
        <v>145</v>
      </c>
      <c r="G804" s="3" t="s">
        <v>146</v>
      </c>
      <c r="H804" s="3" t="s">
        <v>18</v>
      </c>
      <c r="I804" s="3">
        <v>110</v>
      </c>
      <c r="J804" s="3" t="s">
        <v>102</v>
      </c>
      <c r="K804" s="3" t="s">
        <v>7</v>
      </c>
      <c r="L804" s="3" t="s">
        <v>66</v>
      </c>
      <c r="M804" s="4">
        <v>74900</v>
      </c>
      <c r="N804" s="5">
        <v>9.4</v>
      </c>
      <c r="O804" s="4">
        <f t="shared" si="24"/>
        <v>7040.6</v>
      </c>
      <c r="P804" s="4">
        <f t="shared" si="25"/>
        <v>67859.399999999994</v>
      </c>
      <c r="Q804" s="3" t="s">
        <v>28</v>
      </c>
      <c r="R804" s="3" t="s">
        <v>67</v>
      </c>
      <c r="S804" s="3" t="s">
        <v>68</v>
      </c>
      <c r="T804" s="3" t="s">
        <v>29</v>
      </c>
    </row>
    <row r="805" spans="1:20" ht="15" customHeight="1" x14ac:dyDescent="0.3">
      <c r="A805" s="3" t="s">
        <v>2329</v>
      </c>
      <c r="B805" s="3" t="s">
        <v>759</v>
      </c>
      <c r="C805" s="3" t="s">
        <v>8</v>
      </c>
      <c r="D805" s="3" t="s">
        <v>1477</v>
      </c>
      <c r="E805" s="3" t="s">
        <v>2330</v>
      </c>
      <c r="F805" s="3" t="s">
        <v>145</v>
      </c>
      <c r="G805" s="3" t="s">
        <v>201</v>
      </c>
      <c r="H805" s="3" t="s">
        <v>19</v>
      </c>
      <c r="I805" s="3">
        <v>160</v>
      </c>
      <c r="J805" s="3" t="s">
        <v>89</v>
      </c>
      <c r="K805" s="3" t="s">
        <v>5</v>
      </c>
      <c r="L805" s="3" t="s">
        <v>74</v>
      </c>
      <c r="M805" s="4">
        <v>129900</v>
      </c>
      <c r="N805" s="5">
        <v>8.6999999999999993</v>
      </c>
      <c r="O805" s="4">
        <f t="shared" si="24"/>
        <v>11301.3</v>
      </c>
      <c r="P805" s="4">
        <f t="shared" si="25"/>
        <v>118598.7</v>
      </c>
      <c r="Q805" s="3" t="s">
        <v>25</v>
      </c>
      <c r="R805" s="3" t="s">
        <v>67</v>
      </c>
      <c r="S805" s="3" t="s">
        <v>68</v>
      </c>
      <c r="T805" s="3" t="s">
        <v>26</v>
      </c>
    </row>
    <row r="806" spans="1:20" ht="15" customHeight="1" x14ac:dyDescent="0.3">
      <c r="A806" s="3" t="s">
        <v>2331</v>
      </c>
      <c r="B806" s="3" t="s">
        <v>138</v>
      </c>
      <c r="C806" s="3" t="s">
        <v>10</v>
      </c>
      <c r="D806" s="3" t="s">
        <v>2332</v>
      </c>
      <c r="E806" s="3" t="s">
        <v>2333</v>
      </c>
      <c r="F806" s="3" t="s">
        <v>134</v>
      </c>
      <c r="G806" s="3" t="s">
        <v>73</v>
      </c>
      <c r="H806" s="3" t="s">
        <v>21</v>
      </c>
      <c r="I806" s="3">
        <v>110</v>
      </c>
      <c r="J806" s="3" t="s">
        <v>179</v>
      </c>
      <c r="K806" s="3" t="s">
        <v>1</v>
      </c>
      <c r="L806" s="3" t="s">
        <v>74</v>
      </c>
      <c r="M806" s="4">
        <v>79900</v>
      </c>
      <c r="N806" s="5">
        <v>12.6</v>
      </c>
      <c r="O806" s="4">
        <f t="shared" si="24"/>
        <v>10067.4</v>
      </c>
      <c r="P806" s="4">
        <f t="shared" si="25"/>
        <v>69832.600000000006</v>
      </c>
      <c r="Q806" s="3" t="s">
        <v>28</v>
      </c>
      <c r="R806" s="3" t="s">
        <v>67</v>
      </c>
      <c r="S806" s="3" t="s">
        <v>68</v>
      </c>
      <c r="T806" s="3" t="s">
        <v>26</v>
      </c>
    </row>
    <row r="807" spans="1:20" ht="15" customHeight="1" x14ac:dyDescent="0.3">
      <c r="A807" s="3" t="s">
        <v>2334</v>
      </c>
      <c r="B807" s="3" t="s">
        <v>326</v>
      </c>
      <c r="C807" s="3" t="s">
        <v>0</v>
      </c>
      <c r="D807" s="3" t="s">
        <v>2155</v>
      </c>
      <c r="E807" s="3" t="s">
        <v>2335</v>
      </c>
      <c r="F807" s="3" t="s">
        <v>134</v>
      </c>
      <c r="G807" s="3" t="s">
        <v>64</v>
      </c>
      <c r="H807" s="3" t="s">
        <v>19</v>
      </c>
      <c r="I807" s="3">
        <v>200</v>
      </c>
      <c r="J807" s="3" t="s">
        <v>119</v>
      </c>
      <c r="K807" s="3" t="s">
        <v>11</v>
      </c>
      <c r="L807" s="3" t="s">
        <v>136</v>
      </c>
      <c r="M807" s="4">
        <v>199900</v>
      </c>
      <c r="N807" s="5">
        <v>5.6</v>
      </c>
      <c r="O807" s="4">
        <f t="shared" si="24"/>
        <v>11194.4</v>
      </c>
      <c r="P807" s="4">
        <f t="shared" si="25"/>
        <v>188705.6</v>
      </c>
      <c r="Q807" s="3" t="s">
        <v>28</v>
      </c>
      <c r="R807" s="3" t="s">
        <v>67</v>
      </c>
      <c r="S807" s="3" t="s">
        <v>68</v>
      </c>
      <c r="T807" s="3" t="s">
        <v>26</v>
      </c>
    </row>
    <row r="808" spans="1:20" ht="15" customHeight="1" x14ac:dyDescent="0.3">
      <c r="A808" s="3" t="s">
        <v>2336</v>
      </c>
      <c r="B808" s="3" t="s">
        <v>639</v>
      </c>
      <c r="C808" s="3" t="s">
        <v>16</v>
      </c>
      <c r="D808" s="3" t="s">
        <v>868</v>
      </c>
      <c r="E808" s="3" t="s">
        <v>2337</v>
      </c>
      <c r="F808" s="3" t="s">
        <v>124</v>
      </c>
      <c r="G808" s="3" t="s">
        <v>222</v>
      </c>
      <c r="H808" s="3" t="s">
        <v>19</v>
      </c>
      <c r="I808" s="3">
        <v>155</v>
      </c>
      <c r="J808" s="3" t="s">
        <v>129</v>
      </c>
      <c r="K808" s="3" t="s">
        <v>3</v>
      </c>
      <c r="L808" s="3" t="s">
        <v>82</v>
      </c>
      <c r="M808" s="4">
        <v>167900</v>
      </c>
      <c r="N808" s="5">
        <v>6.8</v>
      </c>
      <c r="O808" s="4">
        <f t="shared" si="24"/>
        <v>11417.2</v>
      </c>
      <c r="P808" s="4">
        <f t="shared" si="25"/>
        <v>156482.79999999999</v>
      </c>
      <c r="Q808" s="3" t="s">
        <v>36</v>
      </c>
      <c r="R808" s="3" t="s">
        <v>67</v>
      </c>
      <c r="S808" s="3" t="s">
        <v>68</v>
      </c>
      <c r="T808" s="3" t="s">
        <v>26</v>
      </c>
    </row>
    <row r="809" spans="1:20" ht="15" customHeight="1" x14ac:dyDescent="0.3">
      <c r="A809" s="3" t="s">
        <v>2338</v>
      </c>
      <c r="B809" s="3" t="s">
        <v>826</v>
      </c>
      <c r="C809" s="3" t="s">
        <v>0</v>
      </c>
      <c r="D809" s="3" t="s">
        <v>2339</v>
      </c>
      <c r="E809" s="3" t="s">
        <v>2340</v>
      </c>
      <c r="F809" s="3" t="s">
        <v>124</v>
      </c>
      <c r="G809" s="3" t="s">
        <v>201</v>
      </c>
      <c r="H809" s="3" t="s">
        <v>19</v>
      </c>
      <c r="I809" s="3">
        <v>160</v>
      </c>
      <c r="J809" s="3" t="s">
        <v>179</v>
      </c>
      <c r="K809" s="3" t="s">
        <v>1</v>
      </c>
      <c r="L809" s="3" t="s">
        <v>82</v>
      </c>
      <c r="M809" s="4">
        <v>129900</v>
      </c>
      <c r="N809" s="5">
        <v>7.1</v>
      </c>
      <c r="O809" s="4">
        <f t="shared" si="24"/>
        <v>9222.9</v>
      </c>
      <c r="P809" s="4">
        <f t="shared" si="25"/>
        <v>120677.1</v>
      </c>
      <c r="Q809" s="3" t="s">
        <v>34</v>
      </c>
      <c r="R809" s="3" t="s">
        <v>67</v>
      </c>
      <c r="S809" s="3" t="s">
        <v>68</v>
      </c>
      <c r="T809" s="3" t="s">
        <v>32</v>
      </c>
    </row>
    <row r="810" spans="1:20" ht="15" customHeight="1" x14ac:dyDescent="0.3">
      <c r="A810" s="3" t="s">
        <v>2341</v>
      </c>
      <c r="B810" s="3" t="s">
        <v>166</v>
      </c>
      <c r="C810" s="3" t="s">
        <v>4</v>
      </c>
      <c r="D810" s="3" t="s">
        <v>2342</v>
      </c>
      <c r="E810" s="3" t="s">
        <v>2343</v>
      </c>
      <c r="F810" s="3" t="s">
        <v>124</v>
      </c>
      <c r="G810" s="3" t="s">
        <v>201</v>
      </c>
      <c r="H810" s="3" t="s">
        <v>19</v>
      </c>
      <c r="I810" s="3">
        <v>160</v>
      </c>
      <c r="J810" s="3" t="s">
        <v>102</v>
      </c>
      <c r="K810" s="3" t="s">
        <v>1</v>
      </c>
      <c r="L810" s="3" t="s">
        <v>82</v>
      </c>
      <c r="M810" s="4">
        <v>129900</v>
      </c>
      <c r="N810" s="5">
        <v>6.1</v>
      </c>
      <c r="O810" s="4">
        <f t="shared" si="24"/>
        <v>7923.9</v>
      </c>
      <c r="P810" s="4">
        <f t="shared" si="25"/>
        <v>121976.1</v>
      </c>
      <c r="Q810" s="3" t="s">
        <v>25</v>
      </c>
      <c r="R810" s="3" t="s">
        <v>67</v>
      </c>
      <c r="S810" s="3" t="s">
        <v>68</v>
      </c>
      <c r="T810" s="3" t="s">
        <v>26</v>
      </c>
    </row>
    <row r="811" spans="1:20" ht="15" customHeight="1" x14ac:dyDescent="0.3">
      <c r="A811" s="3" t="s">
        <v>2344</v>
      </c>
      <c r="B811" s="3" t="s">
        <v>639</v>
      </c>
      <c r="C811" s="3" t="s">
        <v>16</v>
      </c>
      <c r="D811" s="3" t="s">
        <v>766</v>
      </c>
      <c r="E811" s="3" t="s">
        <v>2345</v>
      </c>
      <c r="F811" s="3" t="s">
        <v>174</v>
      </c>
      <c r="G811" s="3" t="s">
        <v>73</v>
      </c>
      <c r="H811" s="3" t="s">
        <v>21</v>
      </c>
      <c r="I811" s="3">
        <v>110</v>
      </c>
      <c r="J811" s="3" t="s">
        <v>81</v>
      </c>
      <c r="K811" s="3" t="s">
        <v>1</v>
      </c>
      <c r="L811" s="3" t="s">
        <v>97</v>
      </c>
      <c r="M811" s="4">
        <v>79900</v>
      </c>
      <c r="N811" s="5">
        <v>5.5</v>
      </c>
      <c r="O811" s="4">
        <f t="shared" si="24"/>
        <v>4394.5</v>
      </c>
      <c r="P811" s="4">
        <f t="shared" si="25"/>
        <v>75505.5</v>
      </c>
      <c r="Q811" s="3" t="s">
        <v>28</v>
      </c>
      <c r="R811" s="3" t="s">
        <v>67</v>
      </c>
      <c r="S811" s="3" t="s">
        <v>67</v>
      </c>
      <c r="T811" s="3" t="s">
        <v>26</v>
      </c>
    </row>
    <row r="812" spans="1:20" ht="15" customHeight="1" x14ac:dyDescent="0.3">
      <c r="A812" s="3" t="s">
        <v>2346</v>
      </c>
      <c r="B812" s="3" t="s">
        <v>272</v>
      </c>
      <c r="C812" s="3" t="s">
        <v>0</v>
      </c>
      <c r="D812" s="3" t="s">
        <v>2347</v>
      </c>
      <c r="E812" s="3" t="s">
        <v>2348</v>
      </c>
      <c r="F812" s="3" t="s">
        <v>87</v>
      </c>
      <c r="G812" s="3" t="s">
        <v>80</v>
      </c>
      <c r="H812" s="3" t="s">
        <v>22</v>
      </c>
      <c r="I812" s="3">
        <v>0</v>
      </c>
      <c r="J812" s="3" t="s">
        <v>164</v>
      </c>
      <c r="K812" s="3" t="s">
        <v>1</v>
      </c>
      <c r="L812" s="3" t="s">
        <v>74</v>
      </c>
      <c r="M812" s="4">
        <v>145000</v>
      </c>
      <c r="N812" s="5">
        <v>6.3</v>
      </c>
      <c r="O812" s="4">
        <f t="shared" si="24"/>
        <v>9135</v>
      </c>
      <c r="P812" s="4">
        <f t="shared" si="25"/>
        <v>135865</v>
      </c>
      <c r="Q812" s="3" t="s">
        <v>34</v>
      </c>
      <c r="R812" s="3" t="s">
        <v>67</v>
      </c>
      <c r="S812" s="3" t="s">
        <v>67</v>
      </c>
      <c r="T812" s="3" t="s">
        <v>26</v>
      </c>
    </row>
    <row r="813" spans="1:20" ht="15" customHeight="1" x14ac:dyDescent="0.3">
      <c r="A813" s="3" t="s">
        <v>2349</v>
      </c>
      <c r="B813" s="3" t="s">
        <v>722</v>
      </c>
      <c r="C813" s="3" t="s">
        <v>2</v>
      </c>
      <c r="D813" s="3" t="s">
        <v>2023</v>
      </c>
      <c r="E813" s="3" t="s">
        <v>2350</v>
      </c>
      <c r="F813" s="3" t="s">
        <v>87</v>
      </c>
      <c r="G813" s="3" t="s">
        <v>184</v>
      </c>
      <c r="H813" s="3" t="s">
        <v>18</v>
      </c>
      <c r="I813" s="3">
        <v>125</v>
      </c>
      <c r="J813" s="3" t="s">
        <v>243</v>
      </c>
      <c r="K813" s="3" t="s">
        <v>11</v>
      </c>
      <c r="L813" s="3" t="s">
        <v>97</v>
      </c>
      <c r="M813" s="4">
        <v>79900</v>
      </c>
      <c r="N813" s="5">
        <v>9.5</v>
      </c>
      <c r="O813" s="4">
        <f t="shared" si="24"/>
        <v>7590.5</v>
      </c>
      <c r="P813" s="4">
        <f t="shared" si="25"/>
        <v>72309.5</v>
      </c>
      <c r="Q813" s="3" t="s">
        <v>34</v>
      </c>
      <c r="R813" s="3" t="s">
        <v>68</v>
      </c>
      <c r="S813" s="3" t="s">
        <v>68</v>
      </c>
      <c r="T813" s="3" t="s">
        <v>29</v>
      </c>
    </row>
    <row r="814" spans="1:20" ht="15" customHeight="1" x14ac:dyDescent="0.3">
      <c r="A814" s="3" t="s">
        <v>2351</v>
      </c>
      <c r="B814" s="3" t="s">
        <v>268</v>
      </c>
      <c r="C814" s="3" t="s">
        <v>4</v>
      </c>
      <c r="D814" s="3" t="s">
        <v>2352</v>
      </c>
      <c r="E814" s="3" t="s">
        <v>2353</v>
      </c>
      <c r="F814" s="3" t="s">
        <v>174</v>
      </c>
      <c r="G814" s="3" t="s">
        <v>95</v>
      </c>
      <c r="H814" s="3" t="s">
        <v>22</v>
      </c>
      <c r="I814" s="3">
        <v>0</v>
      </c>
      <c r="J814" s="3" t="s">
        <v>65</v>
      </c>
      <c r="K814" s="3" t="s">
        <v>7</v>
      </c>
      <c r="L814" s="3" t="s">
        <v>97</v>
      </c>
      <c r="M814" s="4">
        <v>139999</v>
      </c>
      <c r="N814" s="5">
        <v>4.4000000000000004</v>
      </c>
      <c r="O814" s="4">
        <f t="shared" si="24"/>
        <v>6159.956000000001</v>
      </c>
      <c r="P814" s="4">
        <f t="shared" si="25"/>
        <v>133839.04399999999</v>
      </c>
      <c r="Q814" s="3" t="s">
        <v>31</v>
      </c>
      <c r="R814" s="3" t="s">
        <v>67</v>
      </c>
      <c r="S814" s="3" t="s">
        <v>68</v>
      </c>
      <c r="T814" s="3" t="s">
        <v>32</v>
      </c>
    </row>
    <row r="815" spans="1:20" ht="15" customHeight="1" x14ac:dyDescent="0.3">
      <c r="A815" s="3" t="s">
        <v>2354</v>
      </c>
      <c r="B815" s="3" t="s">
        <v>501</v>
      </c>
      <c r="C815" s="3" t="s">
        <v>12</v>
      </c>
      <c r="D815" s="3" t="s">
        <v>2355</v>
      </c>
      <c r="E815" s="3" t="s">
        <v>2356</v>
      </c>
      <c r="F815" s="3" t="s">
        <v>79</v>
      </c>
      <c r="G815" s="3" t="s">
        <v>146</v>
      </c>
      <c r="H815" s="3" t="s">
        <v>18</v>
      </c>
      <c r="I815" s="3">
        <v>110</v>
      </c>
      <c r="J815" s="3" t="s">
        <v>102</v>
      </c>
      <c r="K815" s="3" t="s">
        <v>5</v>
      </c>
      <c r="L815" s="3" t="s">
        <v>136</v>
      </c>
      <c r="M815" s="4">
        <v>74900</v>
      </c>
      <c r="N815" s="5">
        <v>9.8000000000000007</v>
      </c>
      <c r="O815" s="4">
        <f t="shared" si="24"/>
        <v>7340.2</v>
      </c>
      <c r="P815" s="4">
        <f t="shared" si="25"/>
        <v>67559.8</v>
      </c>
      <c r="Q815" s="3" t="s">
        <v>25</v>
      </c>
      <c r="R815" s="3" t="s">
        <v>67</v>
      </c>
      <c r="S815" s="3" t="s">
        <v>68</v>
      </c>
      <c r="T815" s="3" t="s">
        <v>32</v>
      </c>
    </row>
    <row r="816" spans="1:20" ht="15" customHeight="1" x14ac:dyDescent="0.3">
      <c r="A816" s="3" t="s">
        <v>2357</v>
      </c>
      <c r="B816" s="3" t="s">
        <v>171</v>
      </c>
      <c r="C816" s="3" t="s">
        <v>12</v>
      </c>
      <c r="D816" s="3" t="s">
        <v>392</v>
      </c>
      <c r="E816" s="3" t="s">
        <v>2358</v>
      </c>
      <c r="F816" s="3" t="s">
        <v>117</v>
      </c>
      <c r="G816" s="3" t="s">
        <v>146</v>
      </c>
      <c r="H816" s="3" t="s">
        <v>18</v>
      </c>
      <c r="I816" s="3">
        <v>110</v>
      </c>
      <c r="J816" s="3" t="s">
        <v>81</v>
      </c>
      <c r="K816" s="3" t="s">
        <v>3</v>
      </c>
      <c r="L816" s="3" t="s">
        <v>74</v>
      </c>
      <c r="M816" s="4">
        <v>74900</v>
      </c>
      <c r="N816" s="5">
        <v>3.7</v>
      </c>
      <c r="O816" s="4">
        <f t="shared" si="24"/>
        <v>2771.3</v>
      </c>
      <c r="P816" s="4">
        <f t="shared" si="25"/>
        <v>72128.7</v>
      </c>
      <c r="Q816" s="3" t="s">
        <v>40</v>
      </c>
      <c r="R816" s="3" t="s">
        <v>67</v>
      </c>
      <c r="S816" s="3" t="s">
        <v>68</v>
      </c>
      <c r="T816" s="3" t="s">
        <v>32</v>
      </c>
    </row>
    <row r="817" spans="1:20" ht="15" customHeight="1" x14ac:dyDescent="0.3">
      <c r="A817" s="3" t="s">
        <v>2359</v>
      </c>
      <c r="B817" s="3" t="s">
        <v>176</v>
      </c>
      <c r="C817" s="3" t="s">
        <v>16</v>
      </c>
      <c r="D817" s="3" t="s">
        <v>2360</v>
      </c>
      <c r="E817" s="3" t="s">
        <v>2361</v>
      </c>
      <c r="F817" s="3" t="s">
        <v>155</v>
      </c>
      <c r="G817" s="3" t="s">
        <v>64</v>
      </c>
      <c r="H817" s="3" t="s">
        <v>19</v>
      </c>
      <c r="I817" s="3">
        <v>200</v>
      </c>
      <c r="J817" s="3" t="s">
        <v>81</v>
      </c>
      <c r="K817" s="3" t="s">
        <v>5</v>
      </c>
      <c r="L817" s="3" t="s">
        <v>74</v>
      </c>
      <c r="M817" s="4">
        <v>199900</v>
      </c>
      <c r="N817" s="5">
        <v>10.1</v>
      </c>
      <c r="O817" s="4">
        <f t="shared" si="24"/>
        <v>20189.900000000001</v>
      </c>
      <c r="P817" s="4">
        <f t="shared" si="25"/>
        <v>179710.1</v>
      </c>
      <c r="Q817" s="3" t="s">
        <v>38</v>
      </c>
      <c r="R817" s="3" t="s">
        <v>67</v>
      </c>
      <c r="S817" s="3" t="s">
        <v>68</v>
      </c>
      <c r="T817" s="3" t="s">
        <v>32</v>
      </c>
    </row>
    <row r="818" spans="1:20" ht="15" customHeight="1" x14ac:dyDescent="0.3">
      <c r="A818" s="3" t="s">
        <v>2362</v>
      </c>
      <c r="B818" s="3" t="s">
        <v>384</v>
      </c>
      <c r="C818" s="3" t="s">
        <v>15</v>
      </c>
      <c r="D818" s="3" t="s">
        <v>2004</v>
      </c>
      <c r="E818" s="3" t="s">
        <v>2363</v>
      </c>
      <c r="F818" s="3" t="s">
        <v>174</v>
      </c>
      <c r="G818" s="3" t="s">
        <v>189</v>
      </c>
      <c r="H818" s="3" t="s">
        <v>18</v>
      </c>
      <c r="I818" s="3">
        <v>100</v>
      </c>
      <c r="J818" s="3" t="s">
        <v>119</v>
      </c>
      <c r="K818" s="3" t="s">
        <v>7</v>
      </c>
      <c r="L818" s="3" t="s">
        <v>136</v>
      </c>
      <c r="M818" s="4">
        <v>72900</v>
      </c>
      <c r="N818" s="5">
        <v>7.4</v>
      </c>
      <c r="O818" s="4">
        <f t="shared" si="24"/>
        <v>5394.6</v>
      </c>
      <c r="P818" s="4">
        <f t="shared" si="25"/>
        <v>67505.399999999994</v>
      </c>
      <c r="Q818" s="3" t="s">
        <v>36</v>
      </c>
      <c r="R818" s="3" t="s">
        <v>68</v>
      </c>
      <c r="S818" s="3" t="s">
        <v>68</v>
      </c>
      <c r="T818" s="3" t="s">
        <v>32</v>
      </c>
    </row>
    <row r="819" spans="1:20" ht="15" customHeight="1" x14ac:dyDescent="0.3">
      <c r="A819" s="3" t="s">
        <v>2364</v>
      </c>
      <c r="B819" s="3" t="s">
        <v>293</v>
      </c>
      <c r="C819" s="3" t="s">
        <v>10</v>
      </c>
      <c r="D819" s="3" t="s">
        <v>250</v>
      </c>
      <c r="E819" s="3" t="s">
        <v>2365</v>
      </c>
      <c r="F819" s="3" t="s">
        <v>117</v>
      </c>
      <c r="G819" s="3" t="s">
        <v>156</v>
      </c>
      <c r="H819" s="3" t="s">
        <v>21</v>
      </c>
      <c r="I819" s="3">
        <v>125</v>
      </c>
      <c r="J819" s="3" t="s">
        <v>81</v>
      </c>
      <c r="K819" s="3" t="s">
        <v>1</v>
      </c>
      <c r="L819" s="3" t="s">
        <v>66</v>
      </c>
      <c r="M819" s="4">
        <v>88900</v>
      </c>
      <c r="N819" s="5">
        <v>10.6</v>
      </c>
      <c r="O819" s="4">
        <f t="shared" si="24"/>
        <v>9423.4</v>
      </c>
      <c r="P819" s="4">
        <f t="shared" si="25"/>
        <v>79476.600000000006</v>
      </c>
      <c r="Q819" s="3" t="s">
        <v>40</v>
      </c>
      <c r="R819" s="3" t="s">
        <v>67</v>
      </c>
      <c r="S819" s="3" t="s">
        <v>68</v>
      </c>
      <c r="T819" s="3" t="s">
        <v>26</v>
      </c>
    </row>
    <row r="820" spans="1:20" ht="15" customHeight="1" x14ac:dyDescent="0.3">
      <c r="A820" s="3" t="s">
        <v>2366</v>
      </c>
      <c r="B820" s="3" t="s">
        <v>105</v>
      </c>
      <c r="C820" s="3" t="s">
        <v>13</v>
      </c>
      <c r="D820" s="3" t="s">
        <v>425</v>
      </c>
      <c r="E820" s="3" t="s">
        <v>2367</v>
      </c>
      <c r="F820" s="3" t="s">
        <v>87</v>
      </c>
      <c r="G820" s="3" t="s">
        <v>146</v>
      </c>
      <c r="H820" s="3" t="s">
        <v>18</v>
      </c>
      <c r="I820" s="3">
        <v>110</v>
      </c>
      <c r="J820" s="3" t="s">
        <v>102</v>
      </c>
      <c r="K820" s="3" t="s">
        <v>5</v>
      </c>
      <c r="L820" s="3" t="s">
        <v>66</v>
      </c>
      <c r="M820" s="4">
        <v>74900</v>
      </c>
      <c r="N820" s="5">
        <v>14.5</v>
      </c>
      <c r="O820" s="4">
        <f t="shared" si="24"/>
        <v>10860.5</v>
      </c>
      <c r="P820" s="4">
        <f t="shared" si="25"/>
        <v>64039.5</v>
      </c>
      <c r="Q820" s="3" t="s">
        <v>40</v>
      </c>
      <c r="R820" s="3" t="s">
        <v>68</v>
      </c>
      <c r="S820" s="3" t="s">
        <v>68</v>
      </c>
      <c r="T820" s="3" t="s">
        <v>26</v>
      </c>
    </row>
    <row r="821" spans="1:20" ht="15" customHeight="1" x14ac:dyDescent="0.3">
      <c r="A821" s="3" t="s">
        <v>2368</v>
      </c>
      <c r="B821" s="3" t="s">
        <v>594</v>
      </c>
      <c r="C821" s="3" t="s">
        <v>15</v>
      </c>
      <c r="D821" s="3" t="s">
        <v>838</v>
      </c>
      <c r="E821" s="3" t="s">
        <v>2369</v>
      </c>
      <c r="F821" s="3" t="s">
        <v>117</v>
      </c>
      <c r="G821" s="3" t="s">
        <v>201</v>
      </c>
      <c r="H821" s="3" t="s">
        <v>19</v>
      </c>
      <c r="I821" s="3">
        <v>160</v>
      </c>
      <c r="J821" s="3" t="s">
        <v>102</v>
      </c>
      <c r="K821" s="3" t="s">
        <v>7</v>
      </c>
      <c r="L821" s="3" t="s">
        <v>206</v>
      </c>
      <c r="M821" s="4">
        <v>129900</v>
      </c>
      <c r="N821" s="5">
        <v>5</v>
      </c>
      <c r="O821" s="4">
        <f t="shared" si="24"/>
        <v>6495</v>
      </c>
      <c r="P821" s="4">
        <f t="shared" si="25"/>
        <v>123405</v>
      </c>
      <c r="Q821" s="3" t="s">
        <v>31</v>
      </c>
      <c r="R821" s="3" t="s">
        <v>67</v>
      </c>
      <c r="S821" s="3" t="s">
        <v>67</v>
      </c>
      <c r="T821" s="3" t="s">
        <v>26</v>
      </c>
    </row>
    <row r="822" spans="1:20" ht="15" customHeight="1" x14ac:dyDescent="0.3">
      <c r="A822" s="3" t="s">
        <v>2370</v>
      </c>
      <c r="B822" s="3" t="s">
        <v>289</v>
      </c>
      <c r="C822" s="3" t="s">
        <v>4</v>
      </c>
      <c r="D822" s="3" t="s">
        <v>1195</v>
      </c>
      <c r="E822" s="3" t="s">
        <v>2371</v>
      </c>
      <c r="F822" s="3" t="s">
        <v>155</v>
      </c>
      <c r="G822" s="3" t="s">
        <v>88</v>
      </c>
      <c r="H822" s="3" t="s">
        <v>18</v>
      </c>
      <c r="I822" s="3">
        <v>125</v>
      </c>
      <c r="J822" s="3" t="s">
        <v>164</v>
      </c>
      <c r="K822" s="3" t="s">
        <v>9</v>
      </c>
      <c r="L822" s="3" t="s">
        <v>90</v>
      </c>
      <c r="M822" s="4">
        <v>94900</v>
      </c>
      <c r="N822" s="5">
        <v>14.5</v>
      </c>
      <c r="O822" s="4">
        <f t="shared" si="24"/>
        <v>13760.5</v>
      </c>
      <c r="P822" s="4">
        <f t="shared" si="25"/>
        <v>81139.5</v>
      </c>
      <c r="Q822" s="3" t="s">
        <v>34</v>
      </c>
      <c r="R822" s="3" t="s">
        <v>68</v>
      </c>
      <c r="S822" s="3" t="s">
        <v>68</v>
      </c>
      <c r="T822" s="3" t="s">
        <v>32</v>
      </c>
    </row>
    <row r="823" spans="1:20" ht="15" customHeight="1" x14ac:dyDescent="0.3">
      <c r="A823" s="3" t="s">
        <v>2372</v>
      </c>
      <c r="B823" s="3" t="s">
        <v>234</v>
      </c>
      <c r="C823" s="3" t="s">
        <v>14</v>
      </c>
      <c r="D823" s="3" t="s">
        <v>356</v>
      </c>
      <c r="E823" s="3" t="s">
        <v>2373</v>
      </c>
      <c r="F823" s="3" t="s">
        <v>117</v>
      </c>
      <c r="G823" s="3" t="s">
        <v>324</v>
      </c>
      <c r="H823" s="3" t="s">
        <v>19</v>
      </c>
      <c r="I823" s="3">
        <v>149</v>
      </c>
      <c r="J823" s="3" t="s">
        <v>164</v>
      </c>
      <c r="K823" s="3" t="s">
        <v>5</v>
      </c>
      <c r="L823" s="3" t="s">
        <v>66</v>
      </c>
      <c r="M823" s="4">
        <v>119900</v>
      </c>
      <c r="N823" s="5">
        <v>14.4</v>
      </c>
      <c r="O823" s="4">
        <f t="shared" si="24"/>
        <v>17265.599999999999</v>
      </c>
      <c r="P823" s="4">
        <f t="shared" si="25"/>
        <v>102634.4</v>
      </c>
      <c r="Q823" s="3" t="s">
        <v>40</v>
      </c>
      <c r="R823" s="3" t="s">
        <v>67</v>
      </c>
      <c r="S823" s="3" t="s">
        <v>68</v>
      </c>
      <c r="T823" s="3" t="s">
        <v>26</v>
      </c>
    </row>
    <row r="824" spans="1:20" ht="15" customHeight="1" x14ac:dyDescent="0.3">
      <c r="A824" s="3" t="s">
        <v>2374</v>
      </c>
      <c r="B824" s="3" t="s">
        <v>293</v>
      </c>
      <c r="C824" s="3" t="s">
        <v>10</v>
      </c>
      <c r="D824" s="3" t="s">
        <v>2375</v>
      </c>
      <c r="E824" s="3" t="s">
        <v>2376</v>
      </c>
      <c r="F824" s="3" t="s">
        <v>155</v>
      </c>
      <c r="G824" s="3" t="s">
        <v>324</v>
      </c>
      <c r="H824" s="3" t="s">
        <v>19</v>
      </c>
      <c r="I824" s="3">
        <v>149</v>
      </c>
      <c r="J824" s="3" t="s">
        <v>81</v>
      </c>
      <c r="K824" s="3" t="s">
        <v>7</v>
      </c>
      <c r="L824" s="3" t="s">
        <v>136</v>
      </c>
      <c r="M824" s="4">
        <v>119900</v>
      </c>
      <c r="N824" s="5">
        <v>5.3</v>
      </c>
      <c r="O824" s="4">
        <f t="shared" si="24"/>
        <v>6354.7</v>
      </c>
      <c r="P824" s="4">
        <f t="shared" si="25"/>
        <v>113545.3</v>
      </c>
      <c r="Q824" s="3" t="s">
        <v>36</v>
      </c>
      <c r="R824" s="3" t="s">
        <v>67</v>
      </c>
      <c r="S824" s="3" t="s">
        <v>67</v>
      </c>
      <c r="T824" s="3" t="s">
        <v>26</v>
      </c>
    </row>
    <row r="825" spans="1:20" ht="15" customHeight="1" x14ac:dyDescent="0.3">
      <c r="A825" s="3" t="s">
        <v>2377</v>
      </c>
      <c r="B825" s="3" t="s">
        <v>847</v>
      </c>
      <c r="C825" s="3" t="s">
        <v>13</v>
      </c>
      <c r="D825" s="3" t="s">
        <v>2378</v>
      </c>
      <c r="E825" s="3" t="s">
        <v>2379</v>
      </c>
      <c r="F825" s="3" t="s">
        <v>87</v>
      </c>
      <c r="G825" s="3" t="s">
        <v>64</v>
      </c>
      <c r="H825" s="3" t="s">
        <v>19</v>
      </c>
      <c r="I825" s="3">
        <v>200</v>
      </c>
      <c r="J825" s="3" t="s">
        <v>164</v>
      </c>
      <c r="K825" s="3" t="s">
        <v>9</v>
      </c>
      <c r="L825" s="3" t="s">
        <v>66</v>
      </c>
      <c r="M825" s="4">
        <v>199900</v>
      </c>
      <c r="N825" s="5">
        <v>8</v>
      </c>
      <c r="O825" s="4">
        <f t="shared" si="24"/>
        <v>15992</v>
      </c>
      <c r="P825" s="4">
        <f t="shared" si="25"/>
        <v>183908</v>
      </c>
      <c r="Q825" s="3" t="s">
        <v>28</v>
      </c>
      <c r="R825" s="3" t="s">
        <v>68</v>
      </c>
      <c r="S825" s="3" t="s">
        <v>68</v>
      </c>
      <c r="T825" s="3" t="s">
        <v>26</v>
      </c>
    </row>
    <row r="826" spans="1:20" ht="15" customHeight="1" x14ac:dyDescent="0.3">
      <c r="A826" s="3" t="s">
        <v>2380</v>
      </c>
      <c r="B826" s="3" t="s">
        <v>176</v>
      </c>
      <c r="C826" s="3" t="s">
        <v>10</v>
      </c>
      <c r="D826" s="3" t="s">
        <v>2381</v>
      </c>
      <c r="E826" s="3" t="s">
        <v>2382</v>
      </c>
      <c r="F826" s="3" t="s">
        <v>117</v>
      </c>
      <c r="G826" s="3" t="s">
        <v>189</v>
      </c>
      <c r="H826" s="3" t="s">
        <v>18</v>
      </c>
      <c r="I826" s="3">
        <v>100</v>
      </c>
      <c r="J826" s="3" t="s">
        <v>89</v>
      </c>
      <c r="K826" s="3" t="s">
        <v>11</v>
      </c>
      <c r="L826" s="3" t="s">
        <v>97</v>
      </c>
      <c r="M826" s="4">
        <v>72900</v>
      </c>
      <c r="N826" s="5">
        <v>12.3</v>
      </c>
      <c r="O826" s="4">
        <f t="shared" si="24"/>
        <v>8966.7000000000007</v>
      </c>
      <c r="P826" s="4">
        <f t="shared" si="25"/>
        <v>63933.3</v>
      </c>
      <c r="Q826" s="3" t="s">
        <v>31</v>
      </c>
      <c r="R826" s="3" t="s">
        <v>67</v>
      </c>
      <c r="S826" s="3" t="s">
        <v>67</v>
      </c>
      <c r="T826" s="3" t="s">
        <v>26</v>
      </c>
    </row>
    <row r="827" spans="1:20" ht="15" customHeight="1" x14ac:dyDescent="0.3">
      <c r="A827" s="3" t="s">
        <v>2383</v>
      </c>
      <c r="B827" s="3" t="s">
        <v>126</v>
      </c>
      <c r="C827" s="3" t="s">
        <v>14</v>
      </c>
      <c r="D827" s="3" t="s">
        <v>167</v>
      </c>
      <c r="E827" s="3" t="s">
        <v>2384</v>
      </c>
      <c r="F827" s="3" t="s">
        <v>117</v>
      </c>
      <c r="G827" s="3" t="s">
        <v>64</v>
      </c>
      <c r="H827" s="3" t="s">
        <v>19</v>
      </c>
      <c r="I827" s="3">
        <v>200</v>
      </c>
      <c r="J827" s="3" t="s">
        <v>89</v>
      </c>
      <c r="K827" s="3" t="s">
        <v>11</v>
      </c>
      <c r="L827" s="3" t="s">
        <v>66</v>
      </c>
      <c r="M827" s="4">
        <v>199900</v>
      </c>
      <c r="N827" s="5">
        <v>7.6</v>
      </c>
      <c r="O827" s="4">
        <f t="shared" si="24"/>
        <v>15192.4</v>
      </c>
      <c r="P827" s="4">
        <f t="shared" si="25"/>
        <v>184707.6</v>
      </c>
      <c r="Q827" s="3" t="s">
        <v>28</v>
      </c>
      <c r="R827" s="3" t="s">
        <v>67</v>
      </c>
      <c r="S827" s="3" t="s">
        <v>68</v>
      </c>
      <c r="T827" s="3" t="s">
        <v>26</v>
      </c>
    </row>
    <row r="828" spans="1:20" ht="15" customHeight="1" x14ac:dyDescent="0.3">
      <c r="A828" s="3" t="s">
        <v>2385</v>
      </c>
      <c r="B828" s="3" t="s">
        <v>467</v>
      </c>
      <c r="C828" s="3" t="s">
        <v>14</v>
      </c>
      <c r="D828" s="3" t="s">
        <v>1041</v>
      </c>
      <c r="E828" s="3" t="s">
        <v>2386</v>
      </c>
      <c r="F828" s="3" t="s">
        <v>117</v>
      </c>
      <c r="G828" s="3" t="s">
        <v>80</v>
      </c>
      <c r="H828" s="3" t="s">
        <v>22</v>
      </c>
      <c r="I828" s="3">
        <v>0</v>
      </c>
      <c r="J828" s="3" t="s">
        <v>243</v>
      </c>
      <c r="K828" s="3" t="s">
        <v>5</v>
      </c>
      <c r="L828" s="3" t="s">
        <v>97</v>
      </c>
      <c r="M828" s="4">
        <v>145000</v>
      </c>
      <c r="N828" s="5">
        <v>7.5</v>
      </c>
      <c r="O828" s="4">
        <f t="shared" si="24"/>
        <v>10875</v>
      </c>
      <c r="P828" s="4">
        <f t="shared" si="25"/>
        <v>134125</v>
      </c>
      <c r="Q828" s="3" t="s">
        <v>36</v>
      </c>
      <c r="R828" s="3" t="s">
        <v>67</v>
      </c>
      <c r="S828" s="3" t="s">
        <v>68</v>
      </c>
      <c r="T828" s="3" t="s">
        <v>32</v>
      </c>
    </row>
    <row r="829" spans="1:20" ht="15" customHeight="1" x14ac:dyDescent="0.3">
      <c r="A829" s="3" t="s">
        <v>2387</v>
      </c>
      <c r="B829" s="3" t="s">
        <v>713</v>
      </c>
      <c r="C829" s="3" t="s">
        <v>15</v>
      </c>
      <c r="D829" s="3" t="s">
        <v>311</v>
      </c>
      <c r="E829" s="3" t="s">
        <v>2388</v>
      </c>
      <c r="F829" s="3" t="s">
        <v>134</v>
      </c>
      <c r="G829" s="3" t="s">
        <v>146</v>
      </c>
      <c r="H829" s="3" t="s">
        <v>18</v>
      </c>
      <c r="I829" s="3">
        <v>110</v>
      </c>
      <c r="J829" s="3" t="s">
        <v>65</v>
      </c>
      <c r="K829" s="3" t="s">
        <v>5</v>
      </c>
      <c r="L829" s="3" t="s">
        <v>97</v>
      </c>
      <c r="M829" s="4">
        <v>74900</v>
      </c>
      <c r="N829" s="5">
        <v>5.2</v>
      </c>
      <c r="O829" s="4">
        <f t="shared" si="24"/>
        <v>3894.8</v>
      </c>
      <c r="P829" s="4">
        <f t="shared" si="25"/>
        <v>71005.2</v>
      </c>
      <c r="Q829" s="3" t="s">
        <v>25</v>
      </c>
      <c r="R829" s="3" t="s">
        <v>67</v>
      </c>
      <c r="S829" s="3" t="s">
        <v>68</v>
      </c>
      <c r="T829" s="3" t="s">
        <v>26</v>
      </c>
    </row>
    <row r="830" spans="1:20" ht="15" customHeight="1" x14ac:dyDescent="0.3">
      <c r="A830" s="3" t="s">
        <v>2389</v>
      </c>
      <c r="B830" s="3" t="s">
        <v>213</v>
      </c>
      <c r="C830" s="3" t="s">
        <v>8</v>
      </c>
      <c r="D830" s="3" t="s">
        <v>2390</v>
      </c>
      <c r="E830" s="3" t="s">
        <v>2391</v>
      </c>
      <c r="F830" s="3" t="s">
        <v>79</v>
      </c>
      <c r="G830" s="3" t="s">
        <v>135</v>
      </c>
      <c r="H830" s="3" t="s">
        <v>19</v>
      </c>
      <c r="I830" s="3">
        <v>160</v>
      </c>
      <c r="J830" s="3" t="s">
        <v>119</v>
      </c>
      <c r="K830" s="3" t="s">
        <v>9</v>
      </c>
      <c r="L830" s="3" t="s">
        <v>90</v>
      </c>
      <c r="M830" s="4">
        <v>124900</v>
      </c>
      <c r="N830" s="5">
        <v>6.5</v>
      </c>
      <c r="O830" s="4">
        <f t="shared" si="24"/>
        <v>8118.5</v>
      </c>
      <c r="P830" s="4">
        <f t="shared" si="25"/>
        <v>116781.5</v>
      </c>
      <c r="Q830" s="3" t="s">
        <v>38</v>
      </c>
      <c r="R830" s="3" t="s">
        <v>68</v>
      </c>
      <c r="S830" s="3" t="s">
        <v>68</v>
      </c>
      <c r="T830" s="3" t="s">
        <v>26</v>
      </c>
    </row>
    <row r="831" spans="1:20" ht="15" customHeight="1" x14ac:dyDescent="0.3">
      <c r="A831" s="3" t="s">
        <v>2392</v>
      </c>
      <c r="B831" s="3" t="s">
        <v>521</v>
      </c>
      <c r="C831" s="3" t="s">
        <v>15</v>
      </c>
      <c r="D831" s="3" t="s">
        <v>115</v>
      </c>
      <c r="E831" s="3" t="s">
        <v>2393</v>
      </c>
      <c r="F831" s="3" t="s">
        <v>117</v>
      </c>
      <c r="G831" s="3" t="s">
        <v>73</v>
      </c>
      <c r="H831" s="3" t="s">
        <v>21</v>
      </c>
      <c r="I831" s="3">
        <v>110</v>
      </c>
      <c r="J831" s="3" t="s">
        <v>102</v>
      </c>
      <c r="K831" s="3" t="s">
        <v>1</v>
      </c>
      <c r="L831" s="3" t="s">
        <v>90</v>
      </c>
      <c r="M831" s="4">
        <v>79900</v>
      </c>
      <c r="N831" s="5">
        <v>4.4000000000000004</v>
      </c>
      <c r="O831" s="4">
        <f t="shared" si="24"/>
        <v>3515.6</v>
      </c>
      <c r="P831" s="4">
        <f t="shared" si="25"/>
        <v>76384.399999999994</v>
      </c>
      <c r="Q831" s="3" t="s">
        <v>25</v>
      </c>
      <c r="R831" s="3" t="s">
        <v>67</v>
      </c>
      <c r="S831" s="3" t="s">
        <v>67</v>
      </c>
      <c r="T831" s="3" t="s">
        <v>29</v>
      </c>
    </row>
    <row r="832" spans="1:20" ht="15" customHeight="1" x14ac:dyDescent="0.3">
      <c r="A832" s="3" t="s">
        <v>2394</v>
      </c>
      <c r="B832" s="3" t="s">
        <v>300</v>
      </c>
      <c r="C832" s="3" t="s">
        <v>12</v>
      </c>
      <c r="D832" s="3" t="s">
        <v>1574</v>
      </c>
      <c r="E832" s="3" t="s">
        <v>2395</v>
      </c>
      <c r="F832" s="3" t="s">
        <v>87</v>
      </c>
      <c r="G832" s="3" t="s">
        <v>95</v>
      </c>
      <c r="H832" s="3" t="s">
        <v>22</v>
      </c>
      <c r="I832" s="3">
        <v>0</v>
      </c>
      <c r="J832" s="3" t="s">
        <v>164</v>
      </c>
      <c r="K832" s="3" t="s">
        <v>3</v>
      </c>
      <c r="L832" s="3" t="s">
        <v>66</v>
      </c>
      <c r="M832" s="4">
        <v>139999</v>
      </c>
      <c r="N832" s="5">
        <v>6.9</v>
      </c>
      <c r="O832" s="4">
        <f t="shared" si="24"/>
        <v>9659.9310000000005</v>
      </c>
      <c r="P832" s="4">
        <f t="shared" si="25"/>
        <v>130339.069</v>
      </c>
      <c r="Q832" s="3" t="s">
        <v>28</v>
      </c>
      <c r="R832" s="3" t="s">
        <v>67</v>
      </c>
      <c r="S832" s="3" t="s">
        <v>67</v>
      </c>
      <c r="T832" s="3" t="s">
        <v>32</v>
      </c>
    </row>
    <row r="833" spans="1:20" ht="15" customHeight="1" x14ac:dyDescent="0.3">
      <c r="A833" s="3" t="s">
        <v>2396</v>
      </c>
      <c r="B833" s="3" t="s">
        <v>289</v>
      </c>
      <c r="C833" s="3" t="s">
        <v>4</v>
      </c>
      <c r="D833" s="3" t="s">
        <v>2397</v>
      </c>
      <c r="E833" s="3" t="s">
        <v>2398</v>
      </c>
      <c r="F833" s="3" t="s">
        <v>124</v>
      </c>
      <c r="G833" s="3" t="s">
        <v>118</v>
      </c>
      <c r="H833" s="3" t="s">
        <v>20</v>
      </c>
      <c r="I833" s="3">
        <v>350</v>
      </c>
      <c r="J833" s="3" t="s">
        <v>81</v>
      </c>
      <c r="K833" s="3" t="s">
        <v>1</v>
      </c>
      <c r="L833" s="3" t="s">
        <v>82</v>
      </c>
      <c r="M833" s="4">
        <v>159900</v>
      </c>
      <c r="N833" s="5">
        <v>3.7</v>
      </c>
      <c r="O833" s="4">
        <f t="shared" si="24"/>
        <v>5916.3</v>
      </c>
      <c r="P833" s="4">
        <f t="shared" si="25"/>
        <v>153983.70000000001</v>
      </c>
      <c r="Q833" s="3" t="s">
        <v>25</v>
      </c>
      <c r="R833" s="3" t="s">
        <v>67</v>
      </c>
      <c r="S833" s="3" t="s">
        <v>67</v>
      </c>
      <c r="T833" s="3" t="s">
        <v>32</v>
      </c>
    </row>
    <row r="834" spans="1:20" ht="15" customHeight="1" x14ac:dyDescent="0.3">
      <c r="A834" s="3" t="s">
        <v>2399</v>
      </c>
      <c r="B834" s="3" t="s">
        <v>395</v>
      </c>
      <c r="C834" s="3" t="s">
        <v>14</v>
      </c>
      <c r="D834" s="3" t="s">
        <v>356</v>
      </c>
      <c r="E834" s="3" t="s">
        <v>2400</v>
      </c>
      <c r="F834" s="3" t="s">
        <v>79</v>
      </c>
      <c r="G834" s="3" t="s">
        <v>95</v>
      </c>
      <c r="H834" s="3" t="s">
        <v>22</v>
      </c>
      <c r="I834" s="3">
        <v>0</v>
      </c>
      <c r="J834" s="3" t="s">
        <v>96</v>
      </c>
      <c r="K834" s="3" t="s">
        <v>7</v>
      </c>
      <c r="L834" s="3" t="s">
        <v>66</v>
      </c>
      <c r="M834" s="4">
        <v>139999</v>
      </c>
      <c r="N834" s="5">
        <v>7.1</v>
      </c>
      <c r="O834" s="4">
        <f t="shared" ref="O834:O897" si="26">M834*N834/100</f>
        <v>9939.9289999999983</v>
      </c>
      <c r="P834" s="4">
        <f t="shared" ref="P834:P897" si="27">M834-O834</f>
        <v>130059.071</v>
      </c>
      <c r="Q834" s="3" t="s">
        <v>36</v>
      </c>
      <c r="R834" s="3" t="s">
        <v>67</v>
      </c>
      <c r="S834" s="3" t="s">
        <v>68</v>
      </c>
      <c r="T834" s="3" t="s">
        <v>26</v>
      </c>
    </row>
    <row r="835" spans="1:20" ht="15" customHeight="1" x14ac:dyDescent="0.3">
      <c r="A835" s="3" t="s">
        <v>2401</v>
      </c>
      <c r="B835" s="3" t="s">
        <v>467</v>
      </c>
      <c r="C835" s="3" t="s">
        <v>14</v>
      </c>
      <c r="D835" s="3" t="s">
        <v>827</v>
      </c>
      <c r="E835" s="3" t="s">
        <v>2402</v>
      </c>
      <c r="F835" s="3" t="s">
        <v>87</v>
      </c>
      <c r="G835" s="3" t="s">
        <v>169</v>
      </c>
      <c r="H835" s="3" t="s">
        <v>18</v>
      </c>
      <c r="I835" s="3">
        <v>162</v>
      </c>
      <c r="J835" s="3" t="s">
        <v>65</v>
      </c>
      <c r="K835" s="3" t="s">
        <v>3</v>
      </c>
      <c r="L835" s="3" t="s">
        <v>206</v>
      </c>
      <c r="M835" s="4">
        <v>124900</v>
      </c>
      <c r="N835" s="5">
        <v>7.3</v>
      </c>
      <c r="O835" s="4">
        <f t="shared" si="26"/>
        <v>9117.7000000000007</v>
      </c>
      <c r="P835" s="4">
        <f t="shared" si="27"/>
        <v>115782.3</v>
      </c>
      <c r="Q835" s="3" t="s">
        <v>31</v>
      </c>
      <c r="R835" s="3" t="s">
        <v>67</v>
      </c>
      <c r="S835" s="3" t="s">
        <v>67</v>
      </c>
      <c r="T835" s="3" t="s">
        <v>26</v>
      </c>
    </row>
    <row r="836" spans="1:20" ht="15" customHeight="1" x14ac:dyDescent="0.3">
      <c r="A836" s="3" t="s">
        <v>2403</v>
      </c>
      <c r="B836" s="3" t="s">
        <v>114</v>
      </c>
      <c r="C836" s="3" t="s">
        <v>4</v>
      </c>
      <c r="D836" s="3" t="s">
        <v>766</v>
      </c>
      <c r="E836" s="3" t="s">
        <v>2404</v>
      </c>
      <c r="F836" s="3" t="s">
        <v>174</v>
      </c>
      <c r="G836" s="3" t="s">
        <v>169</v>
      </c>
      <c r="H836" s="3" t="s">
        <v>18</v>
      </c>
      <c r="I836" s="3">
        <v>162</v>
      </c>
      <c r="J836" s="3" t="s">
        <v>81</v>
      </c>
      <c r="K836" s="3" t="s">
        <v>9</v>
      </c>
      <c r="L836" s="3" t="s">
        <v>97</v>
      </c>
      <c r="M836" s="4">
        <v>124900</v>
      </c>
      <c r="N836" s="5">
        <v>4.2</v>
      </c>
      <c r="O836" s="4">
        <f t="shared" si="26"/>
        <v>5245.8</v>
      </c>
      <c r="P836" s="4">
        <f t="shared" si="27"/>
        <v>119654.2</v>
      </c>
      <c r="Q836" s="3" t="s">
        <v>25</v>
      </c>
      <c r="R836" s="3" t="s">
        <v>67</v>
      </c>
      <c r="S836" s="3" t="s">
        <v>68</v>
      </c>
      <c r="T836" s="3" t="s">
        <v>26</v>
      </c>
    </row>
    <row r="837" spans="1:20" ht="15" customHeight="1" x14ac:dyDescent="0.3">
      <c r="A837" s="3" t="s">
        <v>2405</v>
      </c>
      <c r="B837" s="3" t="s">
        <v>366</v>
      </c>
      <c r="C837" s="3" t="s">
        <v>4</v>
      </c>
      <c r="D837" s="3" t="s">
        <v>980</v>
      </c>
      <c r="E837" s="3" t="s">
        <v>2406</v>
      </c>
      <c r="F837" s="3" t="s">
        <v>79</v>
      </c>
      <c r="G837" s="3" t="s">
        <v>316</v>
      </c>
      <c r="H837" s="3" t="s">
        <v>19</v>
      </c>
      <c r="I837" s="3">
        <v>150</v>
      </c>
      <c r="J837" s="3" t="s">
        <v>65</v>
      </c>
      <c r="K837" s="3" t="s">
        <v>1</v>
      </c>
      <c r="L837" s="3" t="s">
        <v>82</v>
      </c>
      <c r="M837" s="4">
        <v>109900</v>
      </c>
      <c r="N837" s="5">
        <v>3.6</v>
      </c>
      <c r="O837" s="4">
        <f t="shared" si="26"/>
        <v>3956.4</v>
      </c>
      <c r="P837" s="4">
        <f t="shared" si="27"/>
        <v>105943.6</v>
      </c>
      <c r="Q837" s="3" t="s">
        <v>34</v>
      </c>
      <c r="R837" s="3" t="s">
        <v>67</v>
      </c>
      <c r="S837" s="3" t="s">
        <v>67</v>
      </c>
      <c r="T837" s="3" t="s">
        <v>32</v>
      </c>
    </row>
    <row r="838" spans="1:20" ht="15" customHeight="1" x14ac:dyDescent="0.3">
      <c r="A838" s="3" t="s">
        <v>2407</v>
      </c>
      <c r="B838" s="3" t="s">
        <v>448</v>
      </c>
      <c r="C838" s="3" t="s">
        <v>17</v>
      </c>
      <c r="D838" s="3" t="s">
        <v>2408</v>
      </c>
      <c r="E838" s="3" t="s">
        <v>2409</v>
      </c>
      <c r="F838" s="3" t="s">
        <v>79</v>
      </c>
      <c r="G838" s="3" t="s">
        <v>118</v>
      </c>
      <c r="H838" s="3" t="s">
        <v>20</v>
      </c>
      <c r="I838" s="3">
        <v>350</v>
      </c>
      <c r="J838" s="3" t="s">
        <v>102</v>
      </c>
      <c r="K838" s="3" t="s">
        <v>1</v>
      </c>
      <c r="L838" s="3" t="s">
        <v>103</v>
      </c>
      <c r="M838" s="4">
        <v>159900</v>
      </c>
      <c r="N838" s="5">
        <v>6.3</v>
      </c>
      <c r="O838" s="4">
        <f t="shared" si="26"/>
        <v>10073.700000000001</v>
      </c>
      <c r="P838" s="4">
        <f t="shared" si="27"/>
        <v>149826.29999999999</v>
      </c>
      <c r="Q838" s="3" t="s">
        <v>28</v>
      </c>
      <c r="R838" s="3" t="s">
        <v>67</v>
      </c>
      <c r="S838" s="3" t="s">
        <v>68</v>
      </c>
      <c r="T838" s="3" t="s">
        <v>29</v>
      </c>
    </row>
    <row r="839" spans="1:20" ht="15" customHeight="1" x14ac:dyDescent="0.3">
      <c r="A839" s="3" t="s">
        <v>2410</v>
      </c>
      <c r="B839" s="3" t="s">
        <v>489</v>
      </c>
      <c r="C839" s="3" t="s">
        <v>8</v>
      </c>
      <c r="D839" s="3" t="s">
        <v>2411</v>
      </c>
      <c r="E839" s="3" t="s">
        <v>2412</v>
      </c>
      <c r="F839" s="3" t="s">
        <v>124</v>
      </c>
      <c r="G839" s="3" t="s">
        <v>88</v>
      </c>
      <c r="H839" s="3" t="s">
        <v>18</v>
      </c>
      <c r="I839" s="3">
        <v>125</v>
      </c>
      <c r="J839" s="3" t="s">
        <v>119</v>
      </c>
      <c r="K839" s="3" t="s">
        <v>1</v>
      </c>
      <c r="L839" s="3" t="s">
        <v>74</v>
      </c>
      <c r="M839" s="4">
        <v>94900</v>
      </c>
      <c r="N839" s="5">
        <v>6.4</v>
      </c>
      <c r="O839" s="4">
        <f t="shared" si="26"/>
        <v>6073.6</v>
      </c>
      <c r="P839" s="4">
        <f t="shared" si="27"/>
        <v>88826.4</v>
      </c>
      <c r="Q839" s="3" t="s">
        <v>25</v>
      </c>
      <c r="R839" s="3" t="s">
        <v>67</v>
      </c>
      <c r="S839" s="3" t="s">
        <v>68</v>
      </c>
      <c r="T839" s="3" t="s">
        <v>26</v>
      </c>
    </row>
    <row r="840" spans="1:20" ht="15" customHeight="1" x14ac:dyDescent="0.3">
      <c r="A840" s="3" t="s">
        <v>2413</v>
      </c>
      <c r="B840" s="3" t="s">
        <v>1070</v>
      </c>
      <c r="C840" s="3" t="s">
        <v>0</v>
      </c>
      <c r="D840" s="3" t="s">
        <v>1977</v>
      </c>
      <c r="E840" s="3" t="s">
        <v>2414</v>
      </c>
      <c r="F840" s="3" t="s">
        <v>155</v>
      </c>
      <c r="G840" s="3" t="s">
        <v>73</v>
      </c>
      <c r="H840" s="3" t="s">
        <v>21</v>
      </c>
      <c r="I840" s="3">
        <v>110</v>
      </c>
      <c r="J840" s="3" t="s">
        <v>65</v>
      </c>
      <c r="K840" s="3" t="s">
        <v>11</v>
      </c>
      <c r="L840" s="3" t="s">
        <v>136</v>
      </c>
      <c r="M840" s="4">
        <v>79900</v>
      </c>
      <c r="N840" s="5">
        <v>5.2</v>
      </c>
      <c r="O840" s="4">
        <f t="shared" si="26"/>
        <v>4154.8</v>
      </c>
      <c r="P840" s="4">
        <f t="shared" si="27"/>
        <v>75745.2</v>
      </c>
      <c r="Q840" s="3" t="s">
        <v>34</v>
      </c>
      <c r="R840" s="3" t="s">
        <v>67</v>
      </c>
      <c r="S840" s="3" t="s">
        <v>67</v>
      </c>
      <c r="T840" s="3" t="s">
        <v>26</v>
      </c>
    </row>
    <row r="841" spans="1:20" ht="15" customHeight="1" x14ac:dyDescent="0.3">
      <c r="A841" s="3" t="s">
        <v>2415</v>
      </c>
      <c r="B841" s="3" t="s">
        <v>594</v>
      </c>
      <c r="C841" s="3" t="s">
        <v>15</v>
      </c>
      <c r="D841" s="3" t="s">
        <v>908</v>
      </c>
      <c r="E841" s="3" t="s">
        <v>2416</v>
      </c>
      <c r="F841" s="3" t="s">
        <v>174</v>
      </c>
      <c r="G841" s="3" t="s">
        <v>156</v>
      </c>
      <c r="H841" s="3" t="s">
        <v>21</v>
      </c>
      <c r="I841" s="3">
        <v>125</v>
      </c>
      <c r="J841" s="3" t="s">
        <v>96</v>
      </c>
      <c r="K841" s="3" t="s">
        <v>11</v>
      </c>
      <c r="L841" s="3" t="s">
        <v>82</v>
      </c>
      <c r="M841" s="4">
        <v>88900</v>
      </c>
      <c r="N841" s="5">
        <v>3.1</v>
      </c>
      <c r="O841" s="4">
        <f t="shared" si="26"/>
        <v>2755.9</v>
      </c>
      <c r="P841" s="4">
        <f t="shared" si="27"/>
        <v>86144.1</v>
      </c>
      <c r="Q841" s="3" t="s">
        <v>40</v>
      </c>
      <c r="R841" s="3" t="s">
        <v>68</v>
      </c>
      <c r="S841" s="3" t="s">
        <v>68</v>
      </c>
      <c r="T841" s="3" t="s">
        <v>26</v>
      </c>
    </row>
    <row r="842" spans="1:20" ht="15" customHeight="1" x14ac:dyDescent="0.3">
      <c r="A842" s="3" t="s">
        <v>2417</v>
      </c>
      <c r="B842" s="3" t="s">
        <v>208</v>
      </c>
      <c r="C842" s="3" t="s">
        <v>2</v>
      </c>
      <c r="D842" s="3" t="s">
        <v>1757</v>
      </c>
      <c r="E842" s="3" t="s">
        <v>2418</v>
      </c>
      <c r="F842" s="3" t="s">
        <v>124</v>
      </c>
      <c r="G842" s="3" t="s">
        <v>64</v>
      </c>
      <c r="H842" s="3" t="s">
        <v>19</v>
      </c>
      <c r="I842" s="3">
        <v>200</v>
      </c>
      <c r="J842" s="3" t="s">
        <v>89</v>
      </c>
      <c r="K842" s="3" t="s">
        <v>9</v>
      </c>
      <c r="L842" s="3" t="s">
        <v>90</v>
      </c>
      <c r="M842" s="4">
        <v>199900</v>
      </c>
      <c r="N842" s="5">
        <v>9.1</v>
      </c>
      <c r="O842" s="4">
        <f t="shared" si="26"/>
        <v>18190.900000000001</v>
      </c>
      <c r="P842" s="4">
        <f t="shared" si="27"/>
        <v>181709.1</v>
      </c>
      <c r="Q842" s="3" t="s">
        <v>40</v>
      </c>
      <c r="R842" s="3" t="s">
        <v>67</v>
      </c>
      <c r="S842" s="3" t="s">
        <v>68</v>
      </c>
      <c r="T842" s="3" t="s">
        <v>26</v>
      </c>
    </row>
    <row r="843" spans="1:20" ht="15" customHeight="1" x14ac:dyDescent="0.3">
      <c r="A843" s="3" t="s">
        <v>2419</v>
      </c>
      <c r="B843" s="3" t="s">
        <v>148</v>
      </c>
      <c r="C843" s="3" t="s">
        <v>8</v>
      </c>
      <c r="D843" s="3" t="s">
        <v>149</v>
      </c>
      <c r="E843" s="3" t="s">
        <v>2420</v>
      </c>
      <c r="F843" s="3" t="s">
        <v>145</v>
      </c>
      <c r="G843" s="3" t="s">
        <v>316</v>
      </c>
      <c r="H843" s="3" t="s">
        <v>19</v>
      </c>
      <c r="I843" s="3">
        <v>150</v>
      </c>
      <c r="J843" s="3" t="s">
        <v>164</v>
      </c>
      <c r="K843" s="3" t="s">
        <v>11</v>
      </c>
      <c r="L843" s="3" t="s">
        <v>206</v>
      </c>
      <c r="M843" s="4">
        <v>109900</v>
      </c>
      <c r="N843" s="5">
        <v>15</v>
      </c>
      <c r="O843" s="4">
        <f t="shared" si="26"/>
        <v>16485</v>
      </c>
      <c r="P843" s="4">
        <f t="shared" si="27"/>
        <v>93415</v>
      </c>
      <c r="Q843" s="3" t="s">
        <v>38</v>
      </c>
      <c r="R843" s="3" t="s">
        <v>67</v>
      </c>
      <c r="S843" s="3" t="s">
        <v>67</v>
      </c>
      <c r="T843" s="3" t="s">
        <v>26</v>
      </c>
    </row>
    <row r="844" spans="1:20" ht="15" customHeight="1" x14ac:dyDescent="0.3">
      <c r="A844" s="3" t="s">
        <v>2421</v>
      </c>
      <c r="B844" s="3" t="s">
        <v>293</v>
      </c>
      <c r="C844" s="3" t="s">
        <v>16</v>
      </c>
      <c r="D844" s="3" t="s">
        <v>2422</v>
      </c>
      <c r="E844" s="3" t="s">
        <v>2423</v>
      </c>
      <c r="F844" s="3" t="s">
        <v>117</v>
      </c>
      <c r="G844" s="3" t="s">
        <v>73</v>
      </c>
      <c r="H844" s="3" t="s">
        <v>21</v>
      </c>
      <c r="I844" s="3">
        <v>110</v>
      </c>
      <c r="J844" s="3" t="s">
        <v>102</v>
      </c>
      <c r="K844" s="3" t="s">
        <v>3</v>
      </c>
      <c r="L844" s="3" t="s">
        <v>103</v>
      </c>
      <c r="M844" s="4">
        <v>79900</v>
      </c>
      <c r="N844" s="5">
        <v>13.5</v>
      </c>
      <c r="O844" s="4">
        <f t="shared" si="26"/>
        <v>10786.5</v>
      </c>
      <c r="P844" s="4">
        <f t="shared" si="27"/>
        <v>69113.5</v>
      </c>
      <c r="Q844" s="3" t="s">
        <v>28</v>
      </c>
      <c r="R844" s="3" t="s">
        <v>67</v>
      </c>
      <c r="S844" s="3" t="s">
        <v>68</v>
      </c>
      <c r="T844" s="3" t="s">
        <v>26</v>
      </c>
    </row>
    <row r="845" spans="1:20" ht="15" customHeight="1" x14ac:dyDescent="0.3">
      <c r="A845" s="3" t="s">
        <v>2424</v>
      </c>
      <c r="B845" s="3" t="s">
        <v>276</v>
      </c>
      <c r="C845" s="3" t="s">
        <v>12</v>
      </c>
      <c r="D845" s="3" t="s">
        <v>2425</v>
      </c>
      <c r="E845" s="3" t="s">
        <v>2426</v>
      </c>
      <c r="F845" s="3" t="s">
        <v>87</v>
      </c>
      <c r="G845" s="3" t="s">
        <v>135</v>
      </c>
      <c r="H845" s="3" t="s">
        <v>19</v>
      </c>
      <c r="I845" s="3">
        <v>160</v>
      </c>
      <c r="J845" s="3" t="s">
        <v>164</v>
      </c>
      <c r="K845" s="3" t="s">
        <v>3</v>
      </c>
      <c r="L845" s="3" t="s">
        <v>90</v>
      </c>
      <c r="M845" s="4">
        <v>124900</v>
      </c>
      <c r="N845" s="5">
        <v>11.8</v>
      </c>
      <c r="O845" s="4">
        <f t="shared" si="26"/>
        <v>14738.2</v>
      </c>
      <c r="P845" s="4">
        <f t="shared" si="27"/>
        <v>110161.8</v>
      </c>
      <c r="Q845" s="3" t="s">
        <v>34</v>
      </c>
      <c r="R845" s="3" t="s">
        <v>68</v>
      </c>
      <c r="S845" s="3" t="s">
        <v>67</v>
      </c>
      <c r="T845" s="3" t="s">
        <v>26</v>
      </c>
    </row>
    <row r="846" spans="1:20" ht="15" customHeight="1" x14ac:dyDescent="0.3">
      <c r="A846" s="3" t="s">
        <v>2427</v>
      </c>
      <c r="B846" s="3" t="s">
        <v>406</v>
      </c>
      <c r="C846" s="3" t="s">
        <v>17</v>
      </c>
      <c r="D846" s="3" t="s">
        <v>1017</v>
      </c>
      <c r="E846" s="3" t="s">
        <v>2428</v>
      </c>
      <c r="F846" s="3" t="s">
        <v>134</v>
      </c>
      <c r="G846" s="3" t="s">
        <v>64</v>
      </c>
      <c r="H846" s="3" t="s">
        <v>19</v>
      </c>
      <c r="I846" s="3">
        <v>200</v>
      </c>
      <c r="J846" s="3" t="s">
        <v>119</v>
      </c>
      <c r="K846" s="3" t="s">
        <v>1</v>
      </c>
      <c r="L846" s="3" t="s">
        <v>136</v>
      </c>
      <c r="M846" s="4">
        <v>199900</v>
      </c>
      <c r="N846" s="5">
        <v>11.9</v>
      </c>
      <c r="O846" s="4">
        <f t="shared" si="26"/>
        <v>23788.1</v>
      </c>
      <c r="P846" s="4">
        <f t="shared" si="27"/>
        <v>176111.9</v>
      </c>
      <c r="Q846" s="3" t="s">
        <v>40</v>
      </c>
      <c r="R846" s="3" t="s">
        <v>67</v>
      </c>
      <c r="S846" s="3" t="s">
        <v>68</v>
      </c>
      <c r="T846" s="3" t="s">
        <v>32</v>
      </c>
    </row>
    <row r="847" spans="1:20" ht="15" customHeight="1" x14ac:dyDescent="0.3">
      <c r="A847" s="3" t="s">
        <v>2429</v>
      </c>
      <c r="B847" s="3" t="s">
        <v>366</v>
      </c>
      <c r="C847" s="3" t="s">
        <v>4</v>
      </c>
      <c r="D847" s="3" t="s">
        <v>615</v>
      </c>
      <c r="E847" s="3" t="s">
        <v>2430</v>
      </c>
      <c r="F847" s="3" t="s">
        <v>145</v>
      </c>
      <c r="G847" s="3" t="s">
        <v>222</v>
      </c>
      <c r="H847" s="3" t="s">
        <v>19</v>
      </c>
      <c r="I847" s="3">
        <v>155</v>
      </c>
      <c r="J847" s="3" t="s">
        <v>65</v>
      </c>
      <c r="K847" s="3" t="s">
        <v>11</v>
      </c>
      <c r="L847" s="3" t="s">
        <v>97</v>
      </c>
      <c r="M847" s="4">
        <v>167900</v>
      </c>
      <c r="N847" s="5">
        <v>13.3</v>
      </c>
      <c r="O847" s="4">
        <f t="shared" si="26"/>
        <v>22330.7</v>
      </c>
      <c r="P847" s="4">
        <f t="shared" si="27"/>
        <v>145569.29999999999</v>
      </c>
      <c r="Q847" s="3" t="s">
        <v>31</v>
      </c>
      <c r="R847" s="3" t="s">
        <v>68</v>
      </c>
      <c r="S847" s="3" t="s">
        <v>67</v>
      </c>
      <c r="T847" s="3" t="s">
        <v>26</v>
      </c>
    </row>
    <row r="848" spans="1:20" ht="15" customHeight="1" x14ac:dyDescent="0.3">
      <c r="A848" s="3" t="s">
        <v>2431</v>
      </c>
      <c r="B848" s="3" t="s">
        <v>639</v>
      </c>
      <c r="C848" s="3" t="s">
        <v>10</v>
      </c>
      <c r="D848" s="3" t="s">
        <v>2432</v>
      </c>
      <c r="E848" s="3" t="s">
        <v>2433</v>
      </c>
      <c r="F848" s="3" t="s">
        <v>117</v>
      </c>
      <c r="G848" s="3" t="s">
        <v>80</v>
      </c>
      <c r="H848" s="3" t="s">
        <v>22</v>
      </c>
      <c r="I848" s="3">
        <v>0</v>
      </c>
      <c r="J848" s="3" t="s">
        <v>89</v>
      </c>
      <c r="K848" s="3" t="s">
        <v>11</v>
      </c>
      <c r="L848" s="3" t="s">
        <v>82</v>
      </c>
      <c r="M848" s="4">
        <v>145000</v>
      </c>
      <c r="N848" s="5">
        <v>12.6</v>
      </c>
      <c r="O848" s="4">
        <f t="shared" si="26"/>
        <v>18270</v>
      </c>
      <c r="P848" s="4">
        <f t="shared" si="27"/>
        <v>126730</v>
      </c>
      <c r="Q848" s="3" t="s">
        <v>31</v>
      </c>
      <c r="R848" s="3" t="s">
        <v>68</v>
      </c>
      <c r="S848" s="3" t="s">
        <v>68</v>
      </c>
      <c r="T848" s="3" t="s">
        <v>32</v>
      </c>
    </row>
    <row r="849" spans="1:20" ht="15" customHeight="1" x14ac:dyDescent="0.3">
      <c r="A849" s="3" t="s">
        <v>2434</v>
      </c>
      <c r="B849" s="3" t="s">
        <v>249</v>
      </c>
      <c r="C849" s="3" t="s">
        <v>13</v>
      </c>
      <c r="D849" s="3" t="s">
        <v>2435</v>
      </c>
      <c r="E849" s="3" t="s">
        <v>2436</v>
      </c>
      <c r="F849" s="3" t="s">
        <v>174</v>
      </c>
      <c r="G849" s="3" t="s">
        <v>211</v>
      </c>
      <c r="H849" s="3" t="s">
        <v>20</v>
      </c>
      <c r="I849" s="3">
        <v>350</v>
      </c>
      <c r="J849" s="3" t="s">
        <v>243</v>
      </c>
      <c r="K849" s="3" t="s">
        <v>11</v>
      </c>
      <c r="L849" s="3" t="s">
        <v>97</v>
      </c>
      <c r="M849" s="4">
        <v>199900</v>
      </c>
      <c r="N849" s="5">
        <v>14.6</v>
      </c>
      <c r="O849" s="4">
        <f t="shared" si="26"/>
        <v>29185.4</v>
      </c>
      <c r="P849" s="4">
        <f t="shared" si="27"/>
        <v>170714.6</v>
      </c>
      <c r="Q849" s="3" t="s">
        <v>40</v>
      </c>
      <c r="R849" s="3" t="s">
        <v>67</v>
      </c>
      <c r="S849" s="3" t="s">
        <v>68</v>
      </c>
      <c r="T849" s="3" t="s">
        <v>26</v>
      </c>
    </row>
    <row r="850" spans="1:20" ht="15" customHeight="1" x14ac:dyDescent="0.3">
      <c r="A850" s="3" t="s">
        <v>2437</v>
      </c>
      <c r="B850" s="3" t="s">
        <v>142</v>
      </c>
      <c r="C850" s="3" t="s">
        <v>16</v>
      </c>
      <c r="D850" s="3" t="s">
        <v>2438</v>
      </c>
      <c r="E850" s="3" t="s">
        <v>2439</v>
      </c>
      <c r="F850" s="3" t="s">
        <v>174</v>
      </c>
      <c r="G850" s="3" t="s">
        <v>184</v>
      </c>
      <c r="H850" s="3" t="s">
        <v>18</v>
      </c>
      <c r="I850" s="3">
        <v>125</v>
      </c>
      <c r="J850" s="3" t="s">
        <v>102</v>
      </c>
      <c r="K850" s="3" t="s">
        <v>7</v>
      </c>
      <c r="L850" s="3" t="s">
        <v>136</v>
      </c>
      <c r="M850" s="4">
        <v>79900</v>
      </c>
      <c r="N850" s="5">
        <v>7.7</v>
      </c>
      <c r="O850" s="4">
        <f t="shared" si="26"/>
        <v>6152.3</v>
      </c>
      <c r="P850" s="4">
        <f t="shared" si="27"/>
        <v>73747.7</v>
      </c>
      <c r="Q850" s="3" t="s">
        <v>25</v>
      </c>
      <c r="R850" s="3" t="s">
        <v>68</v>
      </c>
      <c r="S850" s="3" t="s">
        <v>67</v>
      </c>
      <c r="T850" s="3" t="s">
        <v>29</v>
      </c>
    </row>
    <row r="851" spans="1:20" ht="15" customHeight="1" x14ac:dyDescent="0.3">
      <c r="A851" s="3" t="s">
        <v>2440</v>
      </c>
      <c r="B851" s="3" t="s">
        <v>812</v>
      </c>
      <c r="C851" s="3" t="s">
        <v>8</v>
      </c>
      <c r="D851" s="3" t="s">
        <v>640</v>
      </c>
      <c r="E851" s="3" t="s">
        <v>2441</v>
      </c>
      <c r="F851" s="3" t="s">
        <v>145</v>
      </c>
      <c r="G851" s="3" t="s">
        <v>211</v>
      </c>
      <c r="H851" s="3" t="s">
        <v>20</v>
      </c>
      <c r="I851" s="3">
        <v>350</v>
      </c>
      <c r="J851" s="3" t="s">
        <v>65</v>
      </c>
      <c r="K851" s="3" t="s">
        <v>9</v>
      </c>
      <c r="L851" s="3" t="s">
        <v>90</v>
      </c>
      <c r="M851" s="4">
        <v>199900</v>
      </c>
      <c r="N851" s="5">
        <v>7.3</v>
      </c>
      <c r="O851" s="4">
        <f t="shared" si="26"/>
        <v>14592.7</v>
      </c>
      <c r="P851" s="4">
        <f t="shared" si="27"/>
        <v>185307.3</v>
      </c>
      <c r="Q851" s="3" t="s">
        <v>31</v>
      </c>
      <c r="R851" s="3" t="s">
        <v>68</v>
      </c>
      <c r="S851" s="3" t="s">
        <v>67</v>
      </c>
      <c r="T851" s="3" t="s">
        <v>26</v>
      </c>
    </row>
    <row r="852" spans="1:20" ht="15" customHeight="1" x14ac:dyDescent="0.3">
      <c r="A852" s="3" t="s">
        <v>2442</v>
      </c>
      <c r="B852" s="3" t="s">
        <v>198</v>
      </c>
      <c r="C852" s="3" t="s">
        <v>2</v>
      </c>
      <c r="D852" s="3" t="s">
        <v>1868</v>
      </c>
      <c r="E852" s="3" t="s">
        <v>2443</v>
      </c>
      <c r="F852" s="3" t="s">
        <v>145</v>
      </c>
      <c r="G852" s="3" t="s">
        <v>169</v>
      </c>
      <c r="H852" s="3" t="s">
        <v>18</v>
      </c>
      <c r="I852" s="3">
        <v>162</v>
      </c>
      <c r="J852" s="3" t="s">
        <v>119</v>
      </c>
      <c r="K852" s="3" t="s">
        <v>7</v>
      </c>
      <c r="L852" s="3" t="s">
        <v>74</v>
      </c>
      <c r="M852" s="4">
        <v>124900</v>
      </c>
      <c r="N852" s="5">
        <v>10.8</v>
      </c>
      <c r="O852" s="4">
        <f t="shared" si="26"/>
        <v>13489.2</v>
      </c>
      <c r="P852" s="4">
        <f t="shared" si="27"/>
        <v>111410.8</v>
      </c>
      <c r="Q852" s="3" t="s">
        <v>31</v>
      </c>
      <c r="R852" s="3" t="s">
        <v>67</v>
      </c>
      <c r="S852" s="3" t="s">
        <v>68</v>
      </c>
      <c r="T852" s="3" t="s">
        <v>26</v>
      </c>
    </row>
    <row r="853" spans="1:20" ht="15" customHeight="1" x14ac:dyDescent="0.3">
      <c r="A853" s="3" t="s">
        <v>2444</v>
      </c>
      <c r="B853" s="3" t="s">
        <v>809</v>
      </c>
      <c r="C853" s="3" t="s">
        <v>17</v>
      </c>
      <c r="D853" s="3" t="s">
        <v>2445</v>
      </c>
      <c r="E853" s="3" t="s">
        <v>2446</v>
      </c>
      <c r="F853" s="3" t="s">
        <v>124</v>
      </c>
      <c r="G853" s="3" t="s">
        <v>222</v>
      </c>
      <c r="H853" s="3" t="s">
        <v>19</v>
      </c>
      <c r="I853" s="3">
        <v>155</v>
      </c>
      <c r="J853" s="3" t="s">
        <v>243</v>
      </c>
      <c r="K853" s="3" t="s">
        <v>7</v>
      </c>
      <c r="L853" s="3" t="s">
        <v>74</v>
      </c>
      <c r="M853" s="4">
        <v>167900</v>
      </c>
      <c r="N853" s="5">
        <v>10.3</v>
      </c>
      <c r="O853" s="4">
        <f t="shared" si="26"/>
        <v>17293.7</v>
      </c>
      <c r="P853" s="4">
        <f t="shared" si="27"/>
        <v>150606.29999999999</v>
      </c>
      <c r="Q853" s="3" t="s">
        <v>34</v>
      </c>
      <c r="R853" s="3" t="s">
        <v>67</v>
      </c>
      <c r="S853" s="3" t="s">
        <v>67</v>
      </c>
      <c r="T853" s="3" t="s">
        <v>26</v>
      </c>
    </row>
    <row r="854" spans="1:20" ht="15" customHeight="1" x14ac:dyDescent="0.3">
      <c r="A854" s="3" t="s">
        <v>2447</v>
      </c>
      <c r="B854" s="3" t="s">
        <v>171</v>
      </c>
      <c r="C854" s="3" t="s">
        <v>12</v>
      </c>
      <c r="D854" s="3" t="s">
        <v>2448</v>
      </c>
      <c r="E854" s="3" t="s">
        <v>2449</v>
      </c>
      <c r="F854" s="3" t="s">
        <v>145</v>
      </c>
      <c r="G854" s="3" t="s">
        <v>146</v>
      </c>
      <c r="H854" s="3" t="s">
        <v>18</v>
      </c>
      <c r="I854" s="3">
        <v>110</v>
      </c>
      <c r="J854" s="3" t="s">
        <v>164</v>
      </c>
      <c r="K854" s="3" t="s">
        <v>7</v>
      </c>
      <c r="L854" s="3" t="s">
        <v>97</v>
      </c>
      <c r="M854" s="4">
        <v>74900</v>
      </c>
      <c r="N854" s="5">
        <v>5.0999999999999996</v>
      </c>
      <c r="O854" s="4">
        <f t="shared" si="26"/>
        <v>3819.9</v>
      </c>
      <c r="P854" s="4">
        <f t="shared" si="27"/>
        <v>71080.100000000006</v>
      </c>
      <c r="Q854" s="3" t="s">
        <v>25</v>
      </c>
      <c r="R854" s="3" t="s">
        <v>67</v>
      </c>
      <c r="S854" s="3" t="s">
        <v>68</v>
      </c>
      <c r="T854" s="3" t="s">
        <v>26</v>
      </c>
    </row>
    <row r="855" spans="1:20" ht="15" customHeight="1" x14ac:dyDescent="0.3">
      <c r="A855" s="3" t="s">
        <v>2450</v>
      </c>
      <c r="B855" s="3" t="s">
        <v>713</v>
      </c>
      <c r="C855" s="3" t="s">
        <v>15</v>
      </c>
      <c r="D855" s="3" t="s">
        <v>2451</v>
      </c>
      <c r="E855" s="3" t="s">
        <v>2452</v>
      </c>
      <c r="F855" s="3" t="s">
        <v>87</v>
      </c>
      <c r="G855" s="3" t="s">
        <v>256</v>
      </c>
      <c r="H855" s="3" t="s">
        <v>21</v>
      </c>
      <c r="I855" s="3">
        <v>110</v>
      </c>
      <c r="J855" s="3" t="s">
        <v>65</v>
      </c>
      <c r="K855" s="3" t="s">
        <v>5</v>
      </c>
      <c r="L855" s="3" t="s">
        <v>82</v>
      </c>
      <c r="M855" s="4">
        <v>80900</v>
      </c>
      <c r="N855" s="5">
        <v>10.1</v>
      </c>
      <c r="O855" s="4">
        <f t="shared" si="26"/>
        <v>8170.9</v>
      </c>
      <c r="P855" s="4">
        <f t="shared" si="27"/>
        <v>72729.100000000006</v>
      </c>
      <c r="Q855" s="3" t="s">
        <v>34</v>
      </c>
      <c r="R855" s="3" t="s">
        <v>67</v>
      </c>
      <c r="S855" s="3" t="s">
        <v>68</v>
      </c>
      <c r="T855" s="3" t="s">
        <v>26</v>
      </c>
    </row>
    <row r="856" spans="1:20" ht="15" customHeight="1" x14ac:dyDescent="0.3">
      <c r="A856" s="3" t="s">
        <v>2453</v>
      </c>
      <c r="B856" s="3" t="s">
        <v>191</v>
      </c>
      <c r="C856" s="3" t="s">
        <v>14</v>
      </c>
      <c r="D856" s="3" t="s">
        <v>1218</v>
      </c>
      <c r="E856" s="3" t="s">
        <v>2454</v>
      </c>
      <c r="F856" s="3" t="s">
        <v>87</v>
      </c>
      <c r="G856" s="3" t="s">
        <v>201</v>
      </c>
      <c r="H856" s="3" t="s">
        <v>19</v>
      </c>
      <c r="I856" s="3">
        <v>160</v>
      </c>
      <c r="J856" s="3" t="s">
        <v>89</v>
      </c>
      <c r="K856" s="3" t="s">
        <v>9</v>
      </c>
      <c r="L856" s="3" t="s">
        <v>90</v>
      </c>
      <c r="M856" s="4">
        <v>129900</v>
      </c>
      <c r="N856" s="5">
        <v>4.4000000000000004</v>
      </c>
      <c r="O856" s="4">
        <f t="shared" si="26"/>
        <v>5715.6</v>
      </c>
      <c r="P856" s="4">
        <f t="shared" si="27"/>
        <v>124184.4</v>
      </c>
      <c r="Q856" s="3" t="s">
        <v>36</v>
      </c>
      <c r="R856" s="3" t="s">
        <v>67</v>
      </c>
      <c r="S856" s="3" t="s">
        <v>68</v>
      </c>
      <c r="T856" s="3" t="s">
        <v>26</v>
      </c>
    </row>
    <row r="857" spans="1:20" ht="15" customHeight="1" x14ac:dyDescent="0.3">
      <c r="A857" s="3" t="s">
        <v>2455</v>
      </c>
      <c r="B857" s="3" t="s">
        <v>289</v>
      </c>
      <c r="C857" s="3" t="s">
        <v>4</v>
      </c>
      <c r="D857" s="3" t="s">
        <v>246</v>
      </c>
      <c r="E857" s="3" t="s">
        <v>2456</v>
      </c>
      <c r="F857" s="3" t="s">
        <v>87</v>
      </c>
      <c r="G857" s="3" t="s">
        <v>201</v>
      </c>
      <c r="H857" s="3" t="s">
        <v>19</v>
      </c>
      <c r="I857" s="3">
        <v>160</v>
      </c>
      <c r="J857" s="3" t="s">
        <v>119</v>
      </c>
      <c r="K857" s="3" t="s">
        <v>3</v>
      </c>
      <c r="L857" s="3" t="s">
        <v>136</v>
      </c>
      <c r="M857" s="4">
        <v>129900</v>
      </c>
      <c r="N857" s="5">
        <v>11.6</v>
      </c>
      <c r="O857" s="4">
        <f t="shared" si="26"/>
        <v>15068.4</v>
      </c>
      <c r="P857" s="4">
        <f t="shared" si="27"/>
        <v>114831.6</v>
      </c>
      <c r="Q857" s="3" t="s">
        <v>34</v>
      </c>
      <c r="R857" s="3" t="s">
        <v>67</v>
      </c>
      <c r="S857" s="3" t="s">
        <v>68</v>
      </c>
      <c r="T857" s="3" t="s">
        <v>29</v>
      </c>
    </row>
    <row r="858" spans="1:20" ht="15" customHeight="1" x14ac:dyDescent="0.3">
      <c r="A858" s="3" t="s">
        <v>2457</v>
      </c>
      <c r="B858" s="3" t="s">
        <v>639</v>
      </c>
      <c r="C858" s="3" t="s">
        <v>10</v>
      </c>
      <c r="D858" s="3" t="s">
        <v>2458</v>
      </c>
      <c r="E858" s="3" t="s">
        <v>2459</v>
      </c>
      <c r="F858" s="3" t="s">
        <v>155</v>
      </c>
      <c r="G858" s="3" t="s">
        <v>156</v>
      </c>
      <c r="H858" s="3" t="s">
        <v>21</v>
      </c>
      <c r="I858" s="3">
        <v>125</v>
      </c>
      <c r="J858" s="3" t="s">
        <v>89</v>
      </c>
      <c r="K858" s="3" t="s">
        <v>9</v>
      </c>
      <c r="L858" s="3" t="s">
        <v>74</v>
      </c>
      <c r="M858" s="4">
        <v>88900</v>
      </c>
      <c r="N858" s="5">
        <v>8.5</v>
      </c>
      <c r="O858" s="4">
        <f t="shared" si="26"/>
        <v>7556.5</v>
      </c>
      <c r="P858" s="4">
        <f t="shared" si="27"/>
        <v>81343.5</v>
      </c>
      <c r="Q858" s="3" t="s">
        <v>38</v>
      </c>
      <c r="R858" s="3" t="s">
        <v>67</v>
      </c>
      <c r="S858" s="3" t="s">
        <v>67</v>
      </c>
      <c r="T858" s="3" t="s">
        <v>26</v>
      </c>
    </row>
    <row r="859" spans="1:20" ht="15" customHeight="1" x14ac:dyDescent="0.3">
      <c r="A859" s="3" t="s">
        <v>2460</v>
      </c>
      <c r="B859" s="3" t="s">
        <v>493</v>
      </c>
      <c r="C859" s="3" t="s">
        <v>14</v>
      </c>
      <c r="D859" s="3" t="s">
        <v>640</v>
      </c>
      <c r="E859" s="3" t="s">
        <v>2461</v>
      </c>
      <c r="F859" s="3" t="s">
        <v>117</v>
      </c>
      <c r="G859" s="3" t="s">
        <v>135</v>
      </c>
      <c r="H859" s="3" t="s">
        <v>19</v>
      </c>
      <c r="I859" s="3">
        <v>160</v>
      </c>
      <c r="J859" s="3" t="s">
        <v>102</v>
      </c>
      <c r="K859" s="3" t="s">
        <v>1</v>
      </c>
      <c r="L859" s="3" t="s">
        <v>97</v>
      </c>
      <c r="M859" s="4">
        <v>124900</v>
      </c>
      <c r="N859" s="5">
        <v>12.6</v>
      </c>
      <c r="O859" s="4">
        <f t="shared" si="26"/>
        <v>15737.4</v>
      </c>
      <c r="P859" s="4">
        <f t="shared" si="27"/>
        <v>109162.6</v>
      </c>
      <c r="Q859" s="3" t="s">
        <v>31</v>
      </c>
      <c r="R859" s="3" t="s">
        <v>67</v>
      </c>
      <c r="S859" s="3" t="s">
        <v>68</v>
      </c>
      <c r="T859" s="3" t="s">
        <v>26</v>
      </c>
    </row>
    <row r="860" spans="1:20" ht="15" customHeight="1" x14ac:dyDescent="0.3">
      <c r="A860" s="3" t="s">
        <v>2462</v>
      </c>
      <c r="B860" s="3" t="s">
        <v>224</v>
      </c>
      <c r="C860" s="3" t="s">
        <v>0</v>
      </c>
      <c r="D860" s="3" t="s">
        <v>1487</v>
      </c>
      <c r="E860" s="3" t="s">
        <v>2463</v>
      </c>
      <c r="F860" s="3" t="s">
        <v>134</v>
      </c>
      <c r="G860" s="3" t="s">
        <v>256</v>
      </c>
      <c r="H860" s="3" t="s">
        <v>21</v>
      </c>
      <c r="I860" s="3">
        <v>110</v>
      </c>
      <c r="J860" s="3" t="s">
        <v>96</v>
      </c>
      <c r="K860" s="3" t="s">
        <v>11</v>
      </c>
      <c r="L860" s="3" t="s">
        <v>66</v>
      </c>
      <c r="M860" s="4">
        <v>80900</v>
      </c>
      <c r="N860" s="5">
        <v>4.7</v>
      </c>
      <c r="O860" s="4">
        <f t="shared" si="26"/>
        <v>3802.3</v>
      </c>
      <c r="P860" s="4">
        <f t="shared" si="27"/>
        <v>77097.7</v>
      </c>
      <c r="Q860" s="3" t="s">
        <v>34</v>
      </c>
      <c r="R860" s="3" t="s">
        <v>68</v>
      </c>
      <c r="S860" s="3" t="s">
        <v>68</v>
      </c>
      <c r="T860" s="3" t="s">
        <v>26</v>
      </c>
    </row>
    <row r="861" spans="1:20" ht="15" customHeight="1" x14ac:dyDescent="0.3">
      <c r="A861" s="3" t="s">
        <v>2464</v>
      </c>
      <c r="B861" s="3" t="s">
        <v>234</v>
      </c>
      <c r="C861" s="3" t="s">
        <v>14</v>
      </c>
      <c r="D861" s="3" t="s">
        <v>1748</v>
      </c>
      <c r="E861" s="3" t="s">
        <v>2465</v>
      </c>
      <c r="F861" s="3" t="s">
        <v>174</v>
      </c>
      <c r="G861" s="3" t="s">
        <v>256</v>
      </c>
      <c r="H861" s="3" t="s">
        <v>21</v>
      </c>
      <c r="I861" s="3">
        <v>110</v>
      </c>
      <c r="J861" s="3" t="s">
        <v>243</v>
      </c>
      <c r="K861" s="3" t="s">
        <v>5</v>
      </c>
      <c r="L861" s="3" t="s">
        <v>74</v>
      </c>
      <c r="M861" s="4">
        <v>80900</v>
      </c>
      <c r="N861" s="5">
        <v>10.6</v>
      </c>
      <c r="O861" s="4">
        <f t="shared" si="26"/>
        <v>8575.4</v>
      </c>
      <c r="P861" s="4">
        <f t="shared" si="27"/>
        <v>72324.600000000006</v>
      </c>
      <c r="Q861" s="3" t="s">
        <v>28</v>
      </c>
      <c r="R861" s="3" t="s">
        <v>68</v>
      </c>
      <c r="S861" s="3" t="s">
        <v>67</v>
      </c>
      <c r="T861" s="3" t="s">
        <v>32</v>
      </c>
    </row>
    <row r="862" spans="1:20" ht="15" customHeight="1" x14ac:dyDescent="0.3">
      <c r="A862" s="3" t="s">
        <v>2466</v>
      </c>
      <c r="B862" s="3" t="s">
        <v>1315</v>
      </c>
      <c r="C862" s="3" t="s">
        <v>14</v>
      </c>
      <c r="D862" s="3" t="s">
        <v>2467</v>
      </c>
      <c r="E862" s="3" t="s">
        <v>2468</v>
      </c>
      <c r="F862" s="3" t="s">
        <v>155</v>
      </c>
      <c r="G862" s="3" t="s">
        <v>189</v>
      </c>
      <c r="H862" s="3" t="s">
        <v>18</v>
      </c>
      <c r="I862" s="3">
        <v>100</v>
      </c>
      <c r="J862" s="3" t="s">
        <v>89</v>
      </c>
      <c r="K862" s="3" t="s">
        <v>11</v>
      </c>
      <c r="L862" s="3" t="s">
        <v>82</v>
      </c>
      <c r="M862" s="4">
        <v>72900</v>
      </c>
      <c r="N862" s="5">
        <v>9.5</v>
      </c>
      <c r="O862" s="4">
        <f t="shared" si="26"/>
        <v>6925.5</v>
      </c>
      <c r="P862" s="4">
        <f t="shared" si="27"/>
        <v>65974.5</v>
      </c>
      <c r="Q862" s="3" t="s">
        <v>31</v>
      </c>
      <c r="R862" s="3" t="s">
        <v>68</v>
      </c>
      <c r="S862" s="3" t="s">
        <v>68</v>
      </c>
      <c r="T862" s="3" t="s">
        <v>26</v>
      </c>
    </row>
    <row r="863" spans="1:20" ht="15" customHeight="1" x14ac:dyDescent="0.3">
      <c r="A863" s="3" t="s">
        <v>2469</v>
      </c>
      <c r="B863" s="3" t="s">
        <v>203</v>
      </c>
      <c r="C863" s="3" t="s">
        <v>10</v>
      </c>
      <c r="D863" s="3" t="s">
        <v>2470</v>
      </c>
      <c r="E863" s="3" t="s">
        <v>2471</v>
      </c>
      <c r="F863" s="3" t="s">
        <v>87</v>
      </c>
      <c r="G863" s="3" t="s">
        <v>316</v>
      </c>
      <c r="H863" s="3" t="s">
        <v>19</v>
      </c>
      <c r="I863" s="3">
        <v>150</v>
      </c>
      <c r="J863" s="3" t="s">
        <v>96</v>
      </c>
      <c r="K863" s="3" t="s">
        <v>7</v>
      </c>
      <c r="L863" s="3" t="s">
        <v>66</v>
      </c>
      <c r="M863" s="4">
        <v>109900</v>
      </c>
      <c r="N863" s="5">
        <v>3.6</v>
      </c>
      <c r="O863" s="4">
        <f t="shared" si="26"/>
        <v>3956.4</v>
      </c>
      <c r="P863" s="4">
        <f t="shared" si="27"/>
        <v>105943.6</v>
      </c>
      <c r="Q863" s="3" t="s">
        <v>31</v>
      </c>
      <c r="R863" s="3" t="s">
        <v>67</v>
      </c>
      <c r="S863" s="3" t="s">
        <v>68</v>
      </c>
      <c r="T863" s="3" t="s">
        <v>26</v>
      </c>
    </row>
    <row r="864" spans="1:20" ht="15" customHeight="1" x14ac:dyDescent="0.3">
      <c r="A864" s="3" t="s">
        <v>2472</v>
      </c>
      <c r="B864" s="3" t="s">
        <v>186</v>
      </c>
      <c r="C864" s="3" t="s">
        <v>6</v>
      </c>
      <c r="D864" s="3" t="s">
        <v>2473</v>
      </c>
      <c r="E864" s="3" t="s">
        <v>2474</v>
      </c>
      <c r="F864" s="3" t="s">
        <v>79</v>
      </c>
      <c r="G864" s="3" t="s">
        <v>222</v>
      </c>
      <c r="H864" s="3" t="s">
        <v>19</v>
      </c>
      <c r="I864" s="3">
        <v>155</v>
      </c>
      <c r="J864" s="3" t="s">
        <v>89</v>
      </c>
      <c r="K864" s="3" t="s">
        <v>5</v>
      </c>
      <c r="L864" s="3" t="s">
        <v>136</v>
      </c>
      <c r="M864" s="4">
        <v>167900</v>
      </c>
      <c r="N864" s="5">
        <v>10.9</v>
      </c>
      <c r="O864" s="4">
        <f t="shared" si="26"/>
        <v>18301.099999999999</v>
      </c>
      <c r="P864" s="4">
        <f t="shared" si="27"/>
        <v>149598.9</v>
      </c>
      <c r="Q864" s="3" t="s">
        <v>34</v>
      </c>
      <c r="R864" s="3" t="s">
        <v>67</v>
      </c>
      <c r="S864" s="3" t="s">
        <v>67</v>
      </c>
      <c r="T864" s="3" t="s">
        <v>26</v>
      </c>
    </row>
    <row r="865" spans="1:20" ht="15" customHeight="1" x14ac:dyDescent="0.3">
      <c r="A865" s="3" t="s">
        <v>2475</v>
      </c>
      <c r="B865" s="3" t="s">
        <v>166</v>
      </c>
      <c r="C865" s="3" t="s">
        <v>4</v>
      </c>
      <c r="D865" s="3" t="s">
        <v>385</v>
      </c>
      <c r="E865" s="3" t="s">
        <v>2476</v>
      </c>
      <c r="F865" s="3" t="s">
        <v>112</v>
      </c>
      <c r="G865" s="3" t="s">
        <v>316</v>
      </c>
      <c r="H865" s="3" t="s">
        <v>19</v>
      </c>
      <c r="I865" s="3">
        <v>150</v>
      </c>
      <c r="J865" s="3" t="s">
        <v>119</v>
      </c>
      <c r="K865" s="3" t="s">
        <v>1</v>
      </c>
      <c r="L865" s="3" t="s">
        <v>206</v>
      </c>
      <c r="M865" s="4">
        <v>109900</v>
      </c>
      <c r="N865" s="5">
        <v>9.8000000000000007</v>
      </c>
      <c r="O865" s="4">
        <f t="shared" si="26"/>
        <v>10770.2</v>
      </c>
      <c r="P865" s="4">
        <f t="shared" si="27"/>
        <v>99129.8</v>
      </c>
      <c r="Q865" s="3" t="s">
        <v>31</v>
      </c>
      <c r="R865" s="3" t="s">
        <v>67</v>
      </c>
      <c r="S865" s="3" t="s">
        <v>67</v>
      </c>
      <c r="T865" s="3" t="s">
        <v>26</v>
      </c>
    </row>
    <row r="866" spans="1:20" ht="15" customHeight="1" x14ac:dyDescent="0.3">
      <c r="A866" s="3" t="s">
        <v>2477</v>
      </c>
      <c r="B866" s="3" t="s">
        <v>234</v>
      </c>
      <c r="C866" s="3" t="s">
        <v>14</v>
      </c>
      <c r="D866" s="3" t="s">
        <v>228</v>
      </c>
      <c r="E866" s="3" t="s">
        <v>2478</v>
      </c>
      <c r="F866" s="3" t="s">
        <v>63</v>
      </c>
      <c r="G866" s="3" t="s">
        <v>189</v>
      </c>
      <c r="H866" s="3" t="s">
        <v>18</v>
      </c>
      <c r="I866" s="3">
        <v>100</v>
      </c>
      <c r="J866" s="3" t="s">
        <v>119</v>
      </c>
      <c r="K866" s="3" t="s">
        <v>7</v>
      </c>
      <c r="L866" s="3" t="s">
        <v>206</v>
      </c>
      <c r="M866" s="4">
        <v>72900</v>
      </c>
      <c r="N866" s="5">
        <v>5.3</v>
      </c>
      <c r="O866" s="4">
        <f t="shared" si="26"/>
        <v>3863.7</v>
      </c>
      <c r="P866" s="4">
        <f t="shared" si="27"/>
        <v>69036.3</v>
      </c>
      <c r="Q866" s="3" t="s">
        <v>38</v>
      </c>
      <c r="R866" s="3" t="s">
        <v>67</v>
      </c>
      <c r="S866" s="3" t="s">
        <v>68</v>
      </c>
      <c r="T866" s="3" t="s">
        <v>26</v>
      </c>
    </row>
    <row r="867" spans="1:20" ht="15" customHeight="1" x14ac:dyDescent="0.3">
      <c r="A867" s="3" t="s">
        <v>2479</v>
      </c>
      <c r="B867" s="3" t="s">
        <v>600</v>
      </c>
      <c r="C867" s="3" t="s">
        <v>6</v>
      </c>
      <c r="D867" s="3" t="s">
        <v>1241</v>
      </c>
      <c r="E867" s="3" t="s">
        <v>2480</v>
      </c>
      <c r="F867" s="3" t="s">
        <v>124</v>
      </c>
      <c r="G867" s="3" t="s">
        <v>64</v>
      </c>
      <c r="H867" s="3" t="s">
        <v>19</v>
      </c>
      <c r="I867" s="3">
        <v>200</v>
      </c>
      <c r="J867" s="3" t="s">
        <v>81</v>
      </c>
      <c r="K867" s="3" t="s">
        <v>5</v>
      </c>
      <c r="L867" s="3" t="s">
        <v>74</v>
      </c>
      <c r="M867" s="4">
        <v>199900</v>
      </c>
      <c r="N867" s="5">
        <v>14.7</v>
      </c>
      <c r="O867" s="4">
        <f t="shared" si="26"/>
        <v>29385.3</v>
      </c>
      <c r="P867" s="4">
        <f t="shared" si="27"/>
        <v>170514.7</v>
      </c>
      <c r="Q867" s="3" t="s">
        <v>34</v>
      </c>
      <c r="R867" s="3" t="s">
        <v>68</v>
      </c>
      <c r="S867" s="3" t="s">
        <v>67</v>
      </c>
      <c r="T867" s="3" t="s">
        <v>26</v>
      </c>
    </row>
    <row r="868" spans="1:20" ht="15" customHeight="1" x14ac:dyDescent="0.3">
      <c r="A868" s="3" t="s">
        <v>2481</v>
      </c>
      <c r="B868" s="3" t="s">
        <v>60</v>
      </c>
      <c r="C868" s="3" t="s">
        <v>10</v>
      </c>
      <c r="D868" s="3" t="s">
        <v>1637</v>
      </c>
      <c r="E868" s="3" t="s">
        <v>2482</v>
      </c>
      <c r="F868" s="3" t="s">
        <v>87</v>
      </c>
      <c r="G868" s="3" t="s">
        <v>80</v>
      </c>
      <c r="H868" s="3" t="s">
        <v>22</v>
      </c>
      <c r="I868" s="3">
        <v>0</v>
      </c>
      <c r="J868" s="3" t="s">
        <v>119</v>
      </c>
      <c r="K868" s="3" t="s">
        <v>7</v>
      </c>
      <c r="L868" s="3" t="s">
        <v>136</v>
      </c>
      <c r="M868" s="4">
        <v>145000</v>
      </c>
      <c r="N868" s="5">
        <v>13.2</v>
      </c>
      <c r="O868" s="4">
        <f t="shared" si="26"/>
        <v>19140</v>
      </c>
      <c r="P868" s="4">
        <f t="shared" si="27"/>
        <v>125860</v>
      </c>
      <c r="Q868" s="3" t="s">
        <v>34</v>
      </c>
      <c r="R868" s="3" t="s">
        <v>68</v>
      </c>
      <c r="S868" s="3" t="s">
        <v>68</v>
      </c>
      <c r="T868" s="3" t="s">
        <v>26</v>
      </c>
    </row>
    <row r="869" spans="1:20" ht="15" customHeight="1" x14ac:dyDescent="0.3">
      <c r="A869" s="3" t="s">
        <v>2483</v>
      </c>
      <c r="B869" s="3" t="s">
        <v>158</v>
      </c>
      <c r="C869" s="3" t="s">
        <v>16</v>
      </c>
      <c r="D869" s="3" t="s">
        <v>370</v>
      </c>
      <c r="E869" s="3" t="s">
        <v>2484</v>
      </c>
      <c r="F869" s="3" t="s">
        <v>117</v>
      </c>
      <c r="G869" s="3" t="s">
        <v>201</v>
      </c>
      <c r="H869" s="3" t="s">
        <v>19</v>
      </c>
      <c r="I869" s="3">
        <v>160</v>
      </c>
      <c r="J869" s="3" t="s">
        <v>65</v>
      </c>
      <c r="K869" s="3" t="s">
        <v>9</v>
      </c>
      <c r="L869" s="3" t="s">
        <v>74</v>
      </c>
      <c r="M869" s="4">
        <v>129900</v>
      </c>
      <c r="N869" s="5">
        <v>10.199999999999999</v>
      </c>
      <c r="O869" s="4">
        <f t="shared" si="26"/>
        <v>13249.8</v>
      </c>
      <c r="P869" s="4">
        <f t="shared" si="27"/>
        <v>116650.2</v>
      </c>
      <c r="Q869" s="3" t="s">
        <v>31</v>
      </c>
      <c r="R869" s="3" t="s">
        <v>68</v>
      </c>
      <c r="S869" s="3" t="s">
        <v>67</v>
      </c>
      <c r="T869" s="3" t="s">
        <v>26</v>
      </c>
    </row>
    <row r="870" spans="1:20" ht="15" customHeight="1" x14ac:dyDescent="0.3">
      <c r="A870" s="3" t="s">
        <v>2485</v>
      </c>
      <c r="B870" s="3" t="s">
        <v>809</v>
      </c>
      <c r="C870" s="3" t="s">
        <v>17</v>
      </c>
      <c r="D870" s="3" t="s">
        <v>214</v>
      </c>
      <c r="E870" s="3" t="s">
        <v>2486</v>
      </c>
      <c r="F870" s="3" t="s">
        <v>155</v>
      </c>
      <c r="G870" s="3" t="s">
        <v>184</v>
      </c>
      <c r="H870" s="3" t="s">
        <v>18</v>
      </c>
      <c r="I870" s="3">
        <v>125</v>
      </c>
      <c r="J870" s="3" t="s">
        <v>164</v>
      </c>
      <c r="K870" s="3" t="s">
        <v>1</v>
      </c>
      <c r="L870" s="3" t="s">
        <v>97</v>
      </c>
      <c r="M870" s="4">
        <v>79900</v>
      </c>
      <c r="N870" s="5">
        <v>6.2</v>
      </c>
      <c r="O870" s="4">
        <f t="shared" si="26"/>
        <v>4953.8</v>
      </c>
      <c r="P870" s="4">
        <f t="shared" si="27"/>
        <v>74946.2</v>
      </c>
      <c r="Q870" s="3" t="s">
        <v>36</v>
      </c>
      <c r="R870" s="3" t="s">
        <v>67</v>
      </c>
      <c r="S870" s="3" t="s">
        <v>67</v>
      </c>
      <c r="T870" s="3" t="s">
        <v>26</v>
      </c>
    </row>
    <row r="871" spans="1:20" ht="15" customHeight="1" x14ac:dyDescent="0.3">
      <c r="A871" s="3" t="s">
        <v>2487</v>
      </c>
      <c r="B871" s="3" t="s">
        <v>448</v>
      </c>
      <c r="C871" s="3" t="s">
        <v>17</v>
      </c>
      <c r="D871" s="3" t="s">
        <v>445</v>
      </c>
      <c r="E871" s="3" t="s">
        <v>2488</v>
      </c>
      <c r="F871" s="3" t="s">
        <v>145</v>
      </c>
      <c r="G871" s="3" t="s">
        <v>118</v>
      </c>
      <c r="H871" s="3" t="s">
        <v>20</v>
      </c>
      <c r="I871" s="3">
        <v>350</v>
      </c>
      <c r="J871" s="3" t="s">
        <v>65</v>
      </c>
      <c r="K871" s="3" t="s">
        <v>9</v>
      </c>
      <c r="L871" s="3" t="s">
        <v>74</v>
      </c>
      <c r="M871" s="4">
        <v>159900</v>
      </c>
      <c r="N871" s="5">
        <v>11.2</v>
      </c>
      <c r="O871" s="4">
        <f t="shared" si="26"/>
        <v>17908.8</v>
      </c>
      <c r="P871" s="4">
        <f t="shared" si="27"/>
        <v>141991.20000000001</v>
      </c>
      <c r="Q871" s="3" t="s">
        <v>28</v>
      </c>
      <c r="R871" s="3" t="s">
        <v>67</v>
      </c>
      <c r="S871" s="3" t="s">
        <v>67</v>
      </c>
      <c r="T871" s="3" t="s">
        <v>26</v>
      </c>
    </row>
    <row r="872" spans="1:20" ht="15" customHeight="1" x14ac:dyDescent="0.3">
      <c r="A872" s="3" t="s">
        <v>2489</v>
      </c>
      <c r="B872" s="3" t="s">
        <v>713</v>
      </c>
      <c r="C872" s="3" t="s">
        <v>15</v>
      </c>
      <c r="D872" s="3" t="s">
        <v>2049</v>
      </c>
      <c r="E872" s="3" t="s">
        <v>2490</v>
      </c>
      <c r="F872" s="3" t="s">
        <v>87</v>
      </c>
      <c r="G872" s="3" t="s">
        <v>73</v>
      </c>
      <c r="H872" s="3" t="s">
        <v>21</v>
      </c>
      <c r="I872" s="3">
        <v>110</v>
      </c>
      <c r="J872" s="3" t="s">
        <v>119</v>
      </c>
      <c r="K872" s="3" t="s">
        <v>5</v>
      </c>
      <c r="L872" s="3" t="s">
        <v>103</v>
      </c>
      <c r="M872" s="4">
        <v>79900</v>
      </c>
      <c r="N872" s="5">
        <v>3.9</v>
      </c>
      <c r="O872" s="4">
        <f t="shared" si="26"/>
        <v>3116.1</v>
      </c>
      <c r="P872" s="4">
        <f t="shared" si="27"/>
        <v>76783.899999999994</v>
      </c>
      <c r="Q872" s="3" t="s">
        <v>28</v>
      </c>
      <c r="R872" s="3" t="s">
        <v>67</v>
      </c>
      <c r="S872" s="3" t="s">
        <v>68</v>
      </c>
      <c r="T872" s="3" t="s">
        <v>26</v>
      </c>
    </row>
    <row r="873" spans="1:20" ht="15" customHeight="1" x14ac:dyDescent="0.3">
      <c r="A873" s="3" t="s">
        <v>2491</v>
      </c>
      <c r="B873" s="3" t="s">
        <v>330</v>
      </c>
      <c r="C873" s="3" t="s">
        <v>4</v>
      </c>
      <c r="D873" s="3" t="s">
        <v>1265</v>
      </c>
      <c r="E873" s="3" t="s">
        <v>2492</v>
      </c>
      <c r="F873" s="3" t="s">
        <v>79</v>
      </c>
      <c r="G873" s="3" t="s">
        <v>73</v>
      </c>
      <c r="H873" s="3" t="s">
        <v>21</v>
      </c>
      <c r="I873" s="3">
        <v>110</v>
      </c>
      <c r="J873" s="3" t="s">
        <v>119</v>
      </c>
      <c r="K873" s="3" t="s">
        <v>3</v>
      </c>
      <c r="L873" s="3" t="s">
        <v>74</v>
      </c>
      <c r="M873" s="4">
        <v>79900</v>
      </c>
      <c r="N873" s="5">
        <v>5.8</v>
      </c>
      <c r="O873" s="4">
        <f t="shared" si="26"/>
        <v>4634.2</v>
      </c>
      <c r="P873" s="4">
        <f t="shared" si="27"/>
        <v>75265.8</v>
      </c>
      <c r="Q873" s="3" t="s">
        <v>36</v>
      </c>
      <c r="R873" s="3" t="s">
        <v>67</v>
      </c>
      <c r="S873" s="3" t="s">
        <v>67</v>
      </c>
      <c r="T873" s="3" t="s">
        <v>26</v>
      </c>
    </row>
    <row r="874" spans="1:20" ht="15" customHeight="1" x14ac:dyDescent="0.3">
      <c r="A874" s="3" t="s">
        <v>2493</v>
      </c>
      <c r="B874" s="3" t="s">
        <v>152</v>
      </c>
      <c r="C874" s="3" t="s">
        <v>6</v>
      </c>
      <c r="D874" s="3" t="s">
        <v>766</v>
      </c>
      <c r="E874" s="3" t="s">
        <v>2494</v>
      </c>
      <c r="F874" s="3" t="s">
        <v>117</v>
      </c>
      <c r="G874" s="3" t="s">
        <v>256</v>
      </c>
      <c r="H874" s="3" t="s">
        <v>21</v>
      </c>
      <c r="I874" s="3">
        <v>110</v>
      </c>
      <c r="J874" s="3" t="s">
        <v>243</v>
      </c>
      <c r="K874" s="3" t="s">
        <v>9</v>
      </c>
      <c r="L874" s="3" t="s">
        <v>66</v>
      </c>
      <c r="M874" s="4">
        <v>80900</v>
      </c>
      <c r="N874" s="5">
        <v>4.0999999999999996</v>
      </c>
      <c r="O874" s="4">
        <f t="shared" si="26"/>
        <v>3316.9</v>
      </c>
      <c r="P874" s="4">
        <f t="shared" si="27"/>
        <v>77583.100000000006</v>
      </c>
      <c r="Q874" s="3" t="s">
        <v>28</v>
      </c>
      <c r="R874" s="3" t="s">
        <v>67</v>
      </c>
      <c r="S874" s="3" t="s">
        <v>68</v>
      </c>
      <c r="T874" s="3" t="s">
        <v>29</v>
      </c>
    </row>
    <row r="875" spans="1:20" ht="15" customHeight="1" x14ac:dyDescent="0.3">
      <c r="A875" s="3" t="s">
        <v>2495</v>
      </c>
      <c r="B875" s="3" t="s">
        <v>1067</v>
      </c>
      <c r="C875" s="3" t="s">
        <v>17</v>
      </c>
      <c r="D875" s="3" t="s">
        <v>965</v>
      </c>
      <c r="E875" s="3" t="s">
        <v>2496</v>
      </c>
      <c r="F875" s="3" t="s">
        <v>79</v>
      </c>
      <c r="G875" s="3" t="s">
        <v>211</v>
      </c>
      <c r="H875" s="3" t="s">
        <v>20</v>
      </c>
      <c r="I875" s="3">
        <v>350</v>
      </c>
      <c r="J875" s="3" t="s">
        <v>65</v>
      </c>
      <c r="K875" s="3" t="s">
        <v>7</v>
      </c>
      <c r="L875" s="3" t="s">
        <v>82</v>
      </c>
      <c r="M875" s="4">
        <v>199900</v>
      </c>
      <c r="N875" s="5">
        <v>14.6</v>
      </c>
      <c r="O875" s="4">
        <f t="shared" si="26"/>
        <v>29185.4</v>
      </c>
      <c r="P875" s="4">
        <f t="shared" si="27"/>
        <v>170714.6</v>
      </c>
      <c r="Q875" s="3" t="s">
        <v>38</v>
      </c>
      <c r="R875" s="3" t="s">
        <v>67</v>
      </c>
      <c r="S875" s="3" t="s">
        <v>68</v>
      </c>
      <c r="T875" s="3" t="s">
        <v>26</v>
      </c>
    </row>
    <row r="876" spans="1:20" ht="15" customHeight="1" x14ac:dyDescent="0.3">
      <c r="A876" s="3" t="s">
        <v>2497</v>
      </c>
      <c r="B876" s="3" t="s">
        <v>402</v>
      </c>
      <c r="C876" s="3" t="s">
        <v>2</v>
      </c>
      <c r="D876" s="3" t="s">
        <v>1695</v>
      </c>
      <c r="E876" s="3" t="s">
        <v>2498</v>
      </c>
      <c r="F876" s="3" t="s">
        <v>134</v>
      </c>
      <c r="G876" s="3" t="s">
        <v>324</v>
      </c>
      <c r="H876" s="3" t="s">
        <v>19</v>
      </c>
      <c r="I876" s="3">
        <v>149</v>
      </c>
      <c r="J876" s="3" t="s">
        <v>243</v>
      </c>
      <c r="K876" s="3" t="s">
        <v>7</v>
      </c>
      <c r="L876" s="3" t="s">
        <v>90</v>
      </c>
      <c r="M876" s="4">
        <v>119900</v>
      </c>
      <c r="N876" s="5">
        <v>9.4</v>
      </c>
      <c r="O876" s="4">
        <f t="shared" si="26"/>
        <v>11270.6</v>
      </c>
      <c r="P876" s="4">
        <f t="shared" si="27"/>
        <v>108629.4</v>
      </c>
      <c r="Q876" s="3" t="s">
        <v>38</v>
      </c>
      <c r="R876" s="3" t="s">
        <v>67</v>
      </c>
      <c r="S876" s="3" t="s">
        <v>68</v>
      </c>
      <c r="T876" s="3" t="s">
        <v>26</v>
      </c>
    </row>
    <row r="877" spans="1:20" ht="15" customHeight="1" x14ac:dyDescent="0.3">
      <c r="A877" s="3" t="s">
        <v>2499</v>
      </c>
      <c r="B877" s="3" t="s">
        <v>105</v>
      </c>
      <c r="C877" s="3" t="s">
        <v>13</v>
      </c>
      <c r="D877" s="3" t="s">
        <v>483</v>
      </c>
      <c r="E877" s="3" t="s">
        <v>2500</v>
      </c>
      <c r="F877" s="3" t="s">
        <v>174</v>
      </c>
      <c r="G877" s="3" t="s">
        <v>64</v>
      </c>
      <c r="H877" s="3" t="s">
        <v>19</v>
      </c>
      <c r="I877" s="3">
        <v>200</v>
      </c>
      <c r="J877" s="3" t="s">
        <v>81</v>
      </c>
      <c r="K877" s="3" t="s">
        <v>11</v>
      </c>
      <c r="L877" s="3" t="s">
        <v>66</v>
      </c>
      <c r="M877" s="4">
        <v>199900</v>
      </c>
      <c r="N877" s="5">
        <v>8.9</v>
      </c>
      <c r="O877" s="4">
        <f t="shared" si="26"/>
        <v>17791.099999999999</v>
      </c>
      <c r="P877" s="4">
        <f t="shared" si="27"/>
        <v>182108.9</v>
      </c>
      <c r="Q877" s="3" t="s">
        <v>34</v>
      </c>
      <c r="R877" s="3" t="s">
        <v>68</v>
      </c>
      <c r="S877" s="3" t="s">
        <v>68</v>
      </c>
      <c r="T877" s="3" t="s">
        <v>29</v>
      </c>
    </row>
    <row r="878" spans="1:20" ht="15" customHeight="1" x14ac:dyDescent="0.3">
      <c r="A878" s="3" t="s">
        <v>2501</v>
      </c>
      <c r="B878" s="3" t="s">
        <v>938</v>
      </c>
      <c r="C878" s="3" t="s">
        <v>6</v>
      </c>
      <c r="D878" s="3" t="s">
        <v>2502</v>
      </c>
      <c r="E878" s="3" t="s">
        <v>2503</v>
      </c>
      <c r="F878" s="3" t="s">
        <v>145</v>
      </c>
      <c r="G878" s="3" t="s">
        <v>201</v>
      </c>
      <c r="H878" s="3" t="s">
        <v>19</v>
      </c>
      <c r="I878" s="3">
        <v>160</v>
      </c>
      <c r="J878" s="3" t="s">
        <v>179</v>
      </c>
      <c r="K878" s="3" t="s">
        <v>11</v>
      </c>
      <c r="L878" s="3" t="s">
        <v>74</v>
      </c>
      <c r="M878" s="4">
        <v>129900</v>
      </c>
      <c r="N878" s="5">
        <v>6</v>
      </c>
      <c r="O878" s="4">
        <f t="shared" si="26"/>
        <v>7794</v>
      </c>
      <c r="P878" s="4">
        <f t="shared" si="27"/>
        <v>122106</v>
      </c>
      <c r="Q878" s="3" t="s">
        <v>28</v>
      </c>
      <c r="R878" s="3" t="s">
        <v>68</v>
      </c>
      <c r="S878" s="3" t="s">
        <v>68</v>
      </c>
      <c r="T878" s="3" t="s">
        <v>32</v>
      </c>
    </row>
    <row r="879" spans="1:20" ht="15" customHeight="1" x14ac:dyDescent="0.3">
      <c r="A879" s="3" t="s">
        <v>2504</v>
      </c>
      <c r="B879" s="3" t="s">
        <v>60</v>
      </c>
      <c r="C879" s="3" t="s">
        <v>10</v>
      </c>
      <c r="D879" s="3" t="s">
        <v>1017</v>
      </c>
      <c r="E879" s="3" t="s">
        <v>2505</v>
      </c>
      <c r="F879" s="3" t="s">
        <v>87</v>
      </c>
      <c r="G879" s="3" t="s">
        <v>316</v>
      </c>
      <c r="H879" s="3" t="s">
        <v>19</v>
      </c>
      <c r="I879" s="3">
        <v>150</v>
      </c>
      <c r="J879" s="3" t="s">
        <v>102</v>
      </c>
      <c r="K879" s="3" t="s">
        <v>3</v>
      </c>
      <c r="L879" s="3" t="s">
        <v>74</v>
      </c>
      <c r="M879" s="4">
        <v>109900</v>
      </c>
      <c r="N879" s="5">
        <v>8.5</v>
      </c>
      <c r="O879" s="4">
        <f t="shared" si="26"/>
        <v>9341.5</v>
      </c>
      <c r="P879" s="4">
        <f t="shared" si="27"/>
        <v>100558.5</v>
      </c>
      <c r="Q879" s="3" t="s">
        <v>28</v>
      </c>
      <c r="R879" s="3" t="s">
        <v>68</v>
      </c>
      <c r="S879" s="3" t="s">
        <v>67</v>
      </c>
      <c r="T879" s="3" t="s">
        <v>32</v>
      </c>
    </row>
    <row r="880" spans="1:20" ht="15" customHeight="1" x14ac:dyDescent="0.3">
      <c r="A880" s="3" t="s">
        <v>2506</v>
      </c>
      <c r="B880" s="3" t="s">
        <v>176</v>
      </c>
      <c r="C880" s="3" t="s">
        <v>10</v>
      </c>
      <c r="D880" s="3" t="s">
        <v>231</v>
      </c>
      <c r="E880" s="3" t="s">
        <v>2507</v>
      </c>
      <c r="F880" s="3" t="s">
        <v>117</v>
      </c>
      <c r="G880" s="3" t="s">
        <v>146</v>
      </c>
      <c r="H880" s="3" t="s">
        <v>18</v>
      </c>
      <c r="I880" s="3">
        <v>110</v>
      </c>
      <c r="J880" s="3" t="s">
        <v>119</v>
      </c>
      <c r="K880" s="3" t="s">
        <v>1</v>
      </c>
      <c r="L880" s="3" t="s">
        <v>136</v>
      </c>
      <c r="M880" s="4">
        <v>74900</v>
      </c>
      <c r="N880" s="5">
        <v>9</v>
      </c>
      <c r="O880" s="4">
        <f t="shared" si="26"/>
        <v>6741</v>
      </c>
      <c r="P880" s="4">
        <f t="shared" si="27"/>
        <v>68159</v>
      </c>
      <c r="Q880" s="3" t="s">
        <v>28</v>
      </c>
      <c r="R880" s="3" t="s">
        <v>67</v>
      </c>
      <c r="S880" s="3" t="s">
        <v>67</v>
      </c>
      <c r="T880" s="3" t="s">
        <v>26</v>
      </c>
    </row>
    <row r="881" spans="1:20" ht="15" customHeight="1" x14ac:dyDescent="0.3">
      <c r="A881" s="3" t="s">
        <v>2508</v>
      </c>
      <c r="B881" s="3" t="s">
        <v>607</v>
      </c>
      <c r="C881" s="3" t="s">
        <v>15</v>
      </c>
      <c r="D881" s="3" t="s">
        <v>1190</v>
      </c>
      <c r="E881" s="3" t="s">
        <v>2509</v>
      </c>
      <c r="F881" s="3" t="s">
        <v>174</v>
      </c>
      <c r="G881" s="3" t="s">
        <v>146</v>
      </c>
      <c r="H881" s="3" t="s">
        <v>18</v>
      </c>
      <c r="I881" s="3">
        <v>110</v>
      </c>
      <c r="J881" s="3" t="s">
        <v>89</v>
      </c>
      <c r="K881" s="3" t="s">
        <v>3</v>
      </c>
      <c r="L881" s="3" t="s">
        <v>103</v>
      </c>
      <c r="M881" s="4">
        <v>74900</v>
      </c>
      <c r="N881" s="5">
        <v>6.3</v>
      </c>
      <c r="O881" s="4">
        <f t="shared" si="26"/>
        <v>4718.7</v>
      </c>
      <c r="P881" s="4">
        <f t="shared" si="27"/>
        <v>70181.3</v>
      </c>
      <c r="Q881" s="3" t="s">
        <v>28</v>
      </c>
      <c r="R881" s="3" t="s">
        <v>68</v>
      </c>
      <c r="S881" s="3" t="s">
        <v>68</v>
      </c>
      <c r="T881" s="3" t="s">
        <v>26</v>
      </c>
    </row>
    <row r="882" spans="1:20" ht="15" customHeight="1" x14ac:dyDescent="0.3">
      <c r="A882" s="3" t="s">
        <v>2510</v>
      </c>
      <c r="B882" s="3" t="s">
        <v>639</v>
      </c>
      <c r="C882" s="3" t="s">
        <v>16</v>
      </c>
      <c r="D882" s="3" t="s">
        <v>2511</v>
      </c>
      <c r="E882" s="3" t="s">
        <v>2512</v>
      </c>
      <c r="F882" s="3" t="s">
        <v>117</v>
      </c>
      <c r="G882" s="3" t="s">
        <v>135</v>
      </c>
      <c r="H882" s="3" t="s">
        <v>19</v>
      </c>
      <c r="I882" s="3">
        <v>160</v>
      </c>
      <c r="J882" s="3" t="s">
        <v>102</v>
      </c>
      <c r="K882" s="3" t="s">
        <v>11</v>
      </c>
      <c r="L882" s="3" t="s">
        <v>97</v>
      </c>
      <c r="M882" s="4">
        <v>124900</v>
      </c>
      <c r="N882" s="5">
        <v>4.0999999999999996</v>
      </c>
      <c r="O882" s="4">
        <f t="shared" si="26"/>
        <v>5120.8999999999996</v>
      </c>
      <c r="P882" s="4">
        <f t="shared" si="27"/>
        <v>119779.1</v>
      </c>
      <c r="Q882" s="3" t="s">
        <v>28</v>
      </c>
      <c r="R882" s="3" t="s">
        <v>67</v>
      </c>
      <c r="S882" s="3" t="s">
        <v>68</v>
      </c>
      <c r="T882" s="3" t="s">
        <v>26</v>
      </c>
    </row>
    <row r="883" spans="1:20" ht="15" customHeight="1" x14ac:dyDescent="0.3">
      <c r="A883" s="3" t="s">
        <v>2513</v>
      </c>
      <c r="B883" s="3" t="s">
        <v>253</v>
      </c>
      <c r="C883" s="3" t="s">
        <v>17</v>
      </c>
      <c r="D883" s="3" t="s">
        <v>2514</v>
      </c>
      <c r="E883" s="3" t="s">
        <v>2515</v>
      </c>
      <c r="F883" s="3" t="s">
        <v>155</v>
      </c>
      <c r="G883" s="3" t="s">
        <v>222</v>
      </c>
      <c r="H883" s="3" t="s">
        <v>19</v>
      </c>
      <c r="I883" s="3">
        <v>155</v>
      </c>
      <c r="J883" s="3" t="s">
        <v>243</v>
      </c>
      <c r="K883" s="3" t="s">
        <v>9</v>
      </c>
      <c r="L883" s="3" t="s">
        <v>74</v>
      </c>
      <c r="M883" s="4">
        <v>167900</v>
      </c>
      <c r="N883" s="5">
        <v>12.2</v>
      </c>
      <c r="O883" s="4">
        <f t="shared" si="26"/>
        <v>20483.8</v>
      </c>
      <c r="P883" s="4">
        <f t="shared" si="27"/>
        <v>147416.20000000001</v>
      </c>
      <c r="Q883" s="3" t="s">
        <v>34</v>
      </c>
      <c r="R883" s="3" t="s">
        <v>67</v>
      </c>
      <c r="S883" s="3" t="s">
        <v>68</v>
      </c>
      <c r="T883" s="3" t="s">
        <v>26</v>
      </c>
    </row>
    <row r="884" spans="1:20" ht="15" customHeight="1" x14ac:dyDescent="0.3">
      <c r="A884" s="3" t="s">
        <v>2516</v>
      </c>
      <c r="B884" s="3" t="s">
        <v>809</v>
      </c>
      <c r="C884" s="3" t="s">
        <v>17</v>
      </c>
      <c r="D884" s="3" t="s">
        <v>2517</v>
      </c>
      <c r="E884" s="3" t="s">
        <v>2518</v>
      </c>
      <c r="F884" s="3" t="s">
        <v>134</v>
      </c>
      <c r="G884" s="3" t="s">
        <v>95</v>
      </c>
      <c r="H884" s="3" t="s">
        <v>22</v>
      </c>
      <c r="I884" s="3">
        <v>0</v>
      </c>
      <c r="J884" s="3" t="s">
        <v>179</v>
      </c>
      <c r="K884" s="3" t="s">
        <v>1</v>
      </c>
      <c r="L884" s="3" t="s">
        <v>97</v>
      </c>
      <c r="M884" s="4">
        <v>139999</v>
      </c>
      <c r="N884" s="5">
        <v>9.5</v>
      </c>
      <c r="O884" s="4">
        <f t="shared" si="26"/>
        <v>13299.905000000001</v>
      </c>
      <c r="P884" s="4">
        <f t="shared" si="27"/>
        <v>126699.095</v>
      </c>
      <c r="Q884" s="3" t="s">
        <v>38</v>
      </c>
      <c r="R884" s="3" t="s">
        <v>67</v>
      </c>
      <c r="S884" s="3" t="s">
        <v>68</v>
      </c>
      <c r="T884" s="3" t="s">
        <v>26</v>
      </c>
    </row>
    <row r="885" spans="1:20" ht="15" customHeight="1" x14ac:dyDescent="0.3">
      <c r="A885" s="3" t="s">
        <v>2519</v>
      </c>
      <c r="B885" s="3" t="s">
        <v>181</v>
      </c>
      <c r="C885" s="3" t="s">
        <v>4</v>
      </c>
      <c r="D885" s="3" t="s">
        <v>1307</v>
      </c>
      <c r="E885" s="3" t="s">
        <v>2520</v>
      </c>
      <c r="F885" s="3" t="s">
        <v>155</v>
      </c>
      <c r="G885" s="3" t="s">
        <v>80</v>
      </c>
      <c r="H885" s="3" t="s">
        <v>22</v>
      </c>
      <c r="I885" s="3">
        <v>0</v>
      </c>
      <c r="J885" s="3" t="s">
        <v>65</v>
      </c>
      <c r="K885" s="3" t="s">
        <v>11</v>
      </c>
      <c r="L885" s="3" t="s">
        <v>136</v>
      </c>
      <c r="M885" s="4">
        <v>145000</v>
      </c>
      <c r="N885" s="5">
        <v>12</v>
      </c>
      <c r="O885" s="4">
        <f t="shared" si="26"/>
        <v>17400</v>
      </c>
      <c r="P885" s="4">
        <f t="shared" si="27"/>
        <v>127600</v>
      </c>
      <c r="Q885" s="3" t="s">
        <v>25</v>
      </c>
      <c r="R885" s="3" t="s">
        <v>68</v>
      </c>
      <c r="S885" s="3" t="s">
        <v>68</v>
      </c>
      <c r="T885" s="3" t="s">
        <v>26</v>
      </c>
    </row>
    <row r="886" spans="1:20" ht="15" customHeight="1" x14ac:dyDescent="0.3">
      <c r="A886" s="3" t="s">
        <v>2521</v>
      </c>
      <c r="B886" s="3" t="s">
        <v>406</v>
      </c>
      <c r="C886" s="3" t="s">
        <v>17</v>
      </c>
      <c r="D886" s="3" t="s">
        <v>342</v>
      </c>
      <c r="E886" s="3" t="s">
        <v>2522</v>
      </c>
      <c r="F886" s="3" t="s">
        <v>145</v>
      </c>
      <c r="G886" s="3" t="s">
        <v>64</v>
      </c>
      <c r="H886" s="3" t="s">
        <v>19</v>
      </c>
      <c r="I886" s="3">
        <v>200</v>
      </c>
      <c r="J886" s="3" t="s">
        <v>243</v>
      </c>
      <c r="K886" s="3" t="s">
        <v>3</v>
      </c>
      <c r="L886" s="3" t="s">
        <v>97</v>
      </c>
      <c r="M886" s="4">
        <v>199900</v>
      </c>
      <c r="N886" s="5">
        <v>5.4</v>
      </c>
      <c r="O886" s="4">
        <f t="shared" si="26"/>
        <v>10794.6</v>
      </c>
      <c r="P886" s="4">
        <f t="shared" si="27"/>
        <v>189105.4</v>
      </c>
      <c r="Q886" s="3" t="s">
        <v>34</v>
      </c>
      <c r="R886" s="3" t="s">
        <v>67</v>
      </c>
      <c r="S886" s="3" t="s">
        <v>68</v>
      </c>
      <c r="T886" s="3" t="s">
        <v>26</v>
      </c>
    </row>
    <row r="887" spans="1:20" ht="15" customHeight="1" x14ac:dyDescent="0.3">
      <c r="A887" s="3" t="s">
        <v>2523</v>
      </c>
      <c r="B887" s="3" t="s">
        <v>812</v>
      </c>
      <c r="C887" s="3" t="s">
        <v>8</v>
      </c>
      <c r="D887" s="3" t="s">
        <v>2524</v>
      </c>
      <c r="E887" s="3" t="s">
        <v>2525</v>
      </c>
      <c r="F887" s="3" t="s">
        <v>124</v>
      </c>
      <c r="G887" s="3" t="s">
        <v>201</v>
      </c>
      <c r="H887" s="3" t="s">
        <v>19</v>
      </c>
      <c r="I887" s="3">
        <v>160</v>
      </c>
      <c r="J887" s="3" t="s">
        <v>179</v>
      </c>
      <c r="K887" s="3" t="s">
        <v>7</v>
      </c>
      <c r="L887" s="3" t="s">
        <v>136</v>
      </c>
      <c r="M887" s="4">
        <v>129900</v>
      </c>
      <c r="N887" s="5">
        <v>9.6999999999999993</v>
      </c>
      <c r="O887" s="4">
        <f t="shared" si="26"/>
        <v>12600.3</v>
      </c>
      <c r="P887" s="4">
        <f t="shared" si="27"/>
        <v>117299.7</v>
      </c>
      <c r="Q887" s="3" t="s">
        <v>25</v>
      </c>
      <c r="R887" s="3" t="s">
        <v>68</v>
      </c>
      <c r="S887" s="3" t="s">
        <v>68</v>
      </c>
      <c r="T887" s="3" t="s">
        <v>29</v>
      </c>
    </row>
    <row r="888" spans="1:20" ht="15" customHeight="1" x14ac:dyDescent="0.3">
      <c r="A888" s="3" t="s">
        <v>2526</v>
      </c>
      <c r="B888" s="3" t="s">
        <v>186</v>
      </c>
      <c r="C888" s="3" t="s">
        <v>6</v>
      </c>
      <c r="D888" s="3" t="s">
        <v>701</v>
      </c>
      <c r="E888" s="3" t="s">
        <v>2527</v>
      </c>
      <c r="F888" s="3" t="s">
        <v>134</v>
      </c>
      <c r="G888" s="3" t="s">
        <v>211</v>
      </c>
      <c r="H888" s="3" t="s">
        <v>20</v>
      </c>
      <c r="I888" s="3">
        <v>350</v>
      </c>
      <c r="J888" s="3" t="s">
        <v>65</v>
      </c>
      <c r="K888" s="3" t="s">
        <v>11</v>
      </c>
      <c r="L888" s="3" t="s">
        <v>136</v>
      </c>
      <c r="M888" s="4">
        <v>199900</v>
      </c>
      <c r="N888" s="5">
        <v>10.199999999999999</v>
      </c>
      <c r="O888" s="4">
        <f t="shared" si="26"/>
        <v>20389.8</v>
      </c>
      <c r="P888" s="4">
        <f t="shared" si="27"/>
        <v>179510.2</v>
      </c>
      <c r="Q888" s="3" t="s">
        <v>40</v>
      </c>
      <c r="R888" s="3" t="s">
        <v>67</v>
      </c>
      <c r="S888" s="3" t="s">
        <v>67</v>
      </c>
      <c r="T888" s="3" t="s">
        <v>26</v>
      </c>
    </row>
    <row r="889" spans="1:20" ht="15" customHeight="1" x14ac:dyDescent="0.3">
      <c r="A889" s="3" t="s">
        <v>2528</v>
      </c>
      <c r="B889" s="3" t="s">
        <v>847</v>
      </c>
      <c r="C889" s="3" t="s">
        <v>13</v>
      </c>
      <c r="D889" s="3" t="s">
        <v>2004</v>
      </c>
      <c r="E889" s="3" t="s">
        <v>2529</v>
      </c>
      <c r="F889" s="3" t="s">
        <v>79</v>
      </c>
      <c r="G889" s="3" t="s">
        <v>95</v>
      </c>
      <c r="H889" s="3" t="s">
        <v>22</v>
      </c>
      <c r="I889" s="3">
        <v>0</v>
      </c>
      <c r="J889" s="3" t="s">
        <v>119</v>
      </c>
      <c r="K889" s="3" t="s">
        <v>3</v>
      </c>
      <c r="L889" s="3" t="s">
        <v>74</v>
      </c>
      <c r="M889" s="4">
        <v>139999</v>
      </c>
      <c r="N889" s="5">
        <v>10.9</v>
      </c>
      <c r="O889" s="4">
        <f t="shared" si="26"/>
        <v>15259.891000000001</v>
      </c>
      <c r="P889" s="4">
        <f t="shared" si="27"/>
        <v>124739.109</v>
      </c>
      <c r="Q889" s="3" t="s">
        <v>38</v>
      </c>
      <c r="R889" s="3" t="s">
        <v>67</v>
      </c>
      <c r="S889" s="3" t="s">
        <v>68</v>
      </c>
      <c r="T889" s="3" t="s">
        <v>26</v>
      </c>
    </row>
    <row r="890" spans="1:20" ht="15" customHeight="1" x14ac:dyDescent="0.3">
      <c r="A890" s="3" t="s">
        <v>2530</v>
      </c>
      <c r="B890" s="3" t="s">
        <v>318</v>
      </c>
      <c r="C890" s="3" t="s">
        <v>16</v>
      </c>
      <c r="D890" s="3" t="s">
        <v>2531</v>
      </c>
      <c r="E890" s="3" t="s">
        <v>2532</v>
      </c>
      <c r="F890" s="3" t="s">
        <v>134</v>
      </c>
      <c r="G890" s="3" t="s">
        <v>256</v>
      </c>
      <c r="H890" s="3" t="s">
        <v>21</v>
      </c>
      <c r="I890" s="3">
        <v>110</v>
      </c>
      <c r="J890" s="3" t="s">
        <v>81</v>
      </c>
      <c r="K890" s="3" t="s">
        <v>5</v>
      </c>
      <c r="L890" s="3" t="s">
        <v>206</v>
      </c>
      <c r="M890" s="4">
        <v>80900</v>
      </c>
      <c r="N890" s="5">
        <v>14.4</v>
      </c>
      <c r="O890" s="4">
        <f t="shared" si="26"/>
        <v>11649.6</v>
      </c>
      <c r="P890" s="4">
        <f t="shared" si="27"/>
        <v>69250.399999999994</v>
      </c>
      <c r="Q890" s="3" t="s">
        <v>25</v>
      </c>
      <c r="R890" s="3" t="s">
        <v>68</v>
      </c>
      <c r="S890" s="3" t="s">
        <v>68</v>
      </c>
      <c r="T890" s="3" t="s">
        <v>26</v>
      </c>
    </row>
    <row r="891" spans="1:20" ht="15" customHeight="1" x14ac:dyDescent="0.3">
      <c r="A891" s="3" t="s">
        <v>2533</v>
      </c>
      <c r="B891" s="3" t="s">
        <v>482</v>
      </c>
      <c r="C891" s="3" t="s">
        <v>6</v>
      </c>
      <c r="D891" s="3" t="s">
        <v>2534</v>
      </c>
      <c r="E891" s="3" t="s">
        <v>2535</v>
      </c>
      <c r="F891" s="3" t="s">
        <v>117</v>
      </c>
      <c r="G891" s="3" t="s">
        <v>211</v>
      </c>
      <c r="H891" s="3" t="s">
        <v>20</v>
      </c>
      <c r="I891" s="3">
        <v>350</v>
      </c>
      <c r="J891" s="3" t="s">
        <v>65</v>
      </c>
      <c r="K891" s="3" t="s">
        <v>5</v>
      </c>
      <c r="L891" s="3" t="s">
        <v>66</v>
      </c>
      <c r="M891" s="4">
        <v>199900</v>
      </c>
      <c r="N891" s="5">
        <v>12.1</v>
      </c>
      <c r="O891" s="4">
        <f t="shared" si="26"/>
        <v>24187.9</v>
      </c>
      <c r="P891" s="4">
        <f t="shared" si="27"/>
        <v>175712.1</v>
      </c>
      <c r="Q891" s="3" t="s">
        <v>31</v>
      </c>
      <c r="R891" s="3" t="s">
        <v>68</v>
      </c>
      <c r="S891" s="3" t="s">
        <v>68</v>
      </c>
      <c r="T891" s="3" t="s">
        <v>26</v>
      </c>
    </row>
    <row r="892" spans="1:20" ht="15" customHeight="1" x14ac:dyDescent="0.3">
      <c r="A892" s="3" t="s">
        <v>2536</v>
      </c>
      <c r="B892" s="3" t="s">
        <v>293</v>
      </c>
      <c r="C892" s="3" t="s">
        <v>10</v>
      </c>
      <c r="D892" s="3" t="s">
        <v>719</v>
      </c>
      <c r="E892" s="3" t="s">
        <v>2537</v>
      </c>
      <c r="F892" s="3" t="s">
        <v>174</v>
      </c>
      <c r="G892" s="3" t="s">
        <v>184</v>
      </c>
      <c r="H892" s="3" t="s">
        <v>18</v>
      </c>
      <c r="I892" s="3">
        <v>125</v>
      </c>
      <c r="J892" s="3" t="s">
        <v>81</v>
      </c>
      <c r="K892" s="3" t="s">
        <v>11</v>
      </c>
      <c r="L892" s="3" t="s">
        <v>90</v>
      </c>
      <c r="M892" s="4">
        <v>79900</v>
      </c>
      <c r="N892" s="5">
        <v>7.6</v>
      </c>
      <c r="O892" s="4">
        <f t="shared" si="26"/>
        <v>6072.4</v>
      </c>
      <c r="P892" s="4">
        <f t="shared" si="27"/>
        <v>73827.600000000006</v>
      </c>
      <c r="Q892" s="3" t="s">
        <v>25</v>
      </c>
      <c r="R892" s="3" t="s">
        <v>67</v>
      </c>
      <c r="S892" s="3" t="s">
        <v>68</v>
      </c>
      <c r="T892" s="3" t="s">
        <v>26</v>
      </c>
    </row>
    <row r="893" spans="1:20" ht="15" customHeight="1" x14ac:dyDescent="0.3">
      <c r="A893" s="3" t="s">
        <v>2538</v>
      </c>
      <c r="B893" s="3" t="s">
        <v>60</v>
      </c>
      <c r="C893" s="3" t="s">
        <v>10</v>
      </c>
      <c r="D893" s="3" t="s">
        <v>2539</v>
      </c>
      <c r="E893" s="3" t="s">
        <v>2540</v>
      </c>
      <c r="F893" s="3" t="s">
        <v>174</v>
      </c>
      <c r="G893" s="3" t="s">
        <v>184</v>
      </c>
      <c r="H893" s="3" t="s">
        <v>18</v>
      </c>
      <c r="I893" s="3">
        <v>125</v>
      </c>
      <c r="J893" s="3" t="s">
        <v>179</v>
      </c>
      <c r="K893" s="3" t="s">
        <v>3</v>
      </c>
      <c r="L893" s="3" t="s">
        <v>206</v>
      </c>
      <c r="M893" s="4">
        <v>79900</v>
      </c>
      <c r="N893" s="5">
        <v>5</v>
      </c>
      <c r="O893" s="4">
        <f t="shared" si="26"/>
        <v>3995</v>
      </c>
      <c r="P893" s="4">
        <f t="shared" si="27"/>
        <v>75905</v>
      </c>
      <c r="Q893" s="3" t="s">
        <v>40</v>
      </c>
      <c r="R893" s="3" t="s">
        <v>67</v>
      </c>
      <c r="S893" s="3" t="s">
        <v>68</v>
      </c>
      <c r="T893" s="3" t="s">
        <v>26</v>
      </c>
    </row>
    <row r="894" spans="1:20" ht="15" customHeight="1" x14ac:dyDescent="0.3">
      <c r="A894" s="3" t="s">
        <v>2541</v>
      </c>
      <c r="B894" s="3" t="s">
        <v>639</v>
      </c>
      <c r="C894" s="3" t="s">
        <v>16</v>
      </c>
      <c r="D894" s="3" t="s">
        <v>2542</v>
      </c>
      <c r="E894" s="3" t="s">
        <v>2543</v>
      </c>
      <c r="F894" s="3" t="s">
        <v>134</v>
      </c>
      <c r="G894" s="3" t="s">
        <v>146</v>
      </c>
      <c r="H894" s="3" t="s">
        <v>18</v>
      </c>
      <c r="I894" s="3">
        <v>110</v>
      </c>
      <c r="J894" s="3" t="s">
        <v>65</v>
      </c>
      <c r="K894" s="3" t="s">
        <v>3</v>
      </c>
      <c r="L894" s="3" t="s">
        <v>206</v>
      </c>
      <c r="M894" s="4">
        <v>74900</v>
      </c>
      <c r="N894" s="5">
        <v>4</v>
      </c>
      <c r="O894" s="4">
        <f t="shared" si="26"/>
        <v>2996</v>
      </c>
      <c r="P894" s="4">
        <f t="shared" si="27"/>
        <v>71904</v>
      </c>
      <c r="Q894" s="3" t="s">
        <v>31</v>
      </c>
      <c r="R894" s="3" t="s">
        <v>67</v>
      </c>
      <c r="S894" s="3" t="s">
        <v>67</v>
      </c>
      <c r="T894" s="3" t="s">
        <v>26</v>
      </c>
    </row>
    <row r="895" spans="1:20" ht="15" customHeight="1" x14ac:dyDescent="0.3">
      <c r="A895" s="3" t="s">
        <v>2544</v>
      </c>
      <c r="B895" s="3" t="s">
        <v>493</v>
      </c>
      <c r="C895" s="3" t="s">
        <v>14</v>
      </c>
      <c r="D895" s="3" t="s">
        <v>1029</v>
      </c>
      <c r="E895" s="3" t="s">
        <v>2545</v>
      </c>
      <c r="F895" s="3" t="s">
        <v>174</v>
      </c>
      <c r="G895" s="3" t="s">
        <v>222</v>
      </c>
      <c r="H895" s="3" t="s">
        <v>19</v>
      </c>
      <c r="I895" s="3">
        <v>155</v>
      </c>
      <c r="J895" s="3" t="s">
        <v>129</v>
      </c>
      <c r="K895" s="3" t="s">
        <v>7</v>
      </c>
      <c r="L895" s="3" t="s">
        <v>74</v>
      </c>
      <c r="M895" s="4">
        <v>167900</v>
      </c>
      <c r="N895" s="5">
        <v>12.7</v>
      </c>
      <c r="O895" s="4">
        <f t="shared" si="26"/>
        <v>21323.3</v>
      </c>
      <c r="P895" s="4">
        <f t="shared" si="27"/>
        <v>146576.70000000001</v>
      </c>
      <c r="Q895" s="3" t="s">
        <v>25</v>
      </c>
      <c r="R895" s="3" t="s">
        <v>67</v>
      </c>
      <c r="S895" s="3" t="s">
        <v>68</v>
      </c>
      <c r="T895" s="3" t="s">
        <v>29</v>
      </c>
    </row>
    <row r="896" spans="1:20" ht="15" customHeight="1" x14ac:dyDescent="0.3">
      <c r="A896" s="3" t="s">
        <v>2546</v>
      </c>
      <c r="B896" s="3" t="s">
        <v>158</v>
      </c>
      <c r="C896" s="3" t="s">
        <v>16</v>
      </c>
      <c r="D896" s="3" t="s">
        <v>2547</v>
      </c>
      <c r="E896" s="3" t="s">
        <v>2548</v>
      </c>
      <c r="F896" s="3" t="s">
        <v>79</v>
      </c>
      <c r="G896" s="3" t="s">
        <v>184</v>
      </c>
      <c r="H896" s="3" t="s">
        <v>18</v>
      </c>
      <c r="I896" s="3">
        <v>125</v>
      </c>
      <c r="J896" s="3" t="s">
        <v>129</v>
      </c>
      <c r="K896" s="3" t="s">
        <v>11</v>
      </c>
      <c r="L896" s="3" t="s">
        <v>66</v>
      </c>
      <c r="M896" s="4">
        <v>79900</v>
      </c>
      <c r="N896" s="5">
        <v>7.9</v>
      </c>
      <c r="O896" s="4">
        <f t="shared" si="26"/>
        <v>6312.1</v>
      </c>
      <c r="P896" s="4">
        <f t="shared" si="27"/>
        <v>73587.899999999994</v>
      </c>
      <c r="Q896" s="3" t="s">
        <v>38</v>
      </c>
      <c r="R896" s="3" t="s">
        <v>67</v>
      </c>
      <c r="S896" s="3" t="s">
        <v>68</v>
      </c>
      <c r="T896" s="3" t="s">
        <v>26</v>
      </c>
    </row>
    <row r="897" spans="1:20" ht="15" customHeight="1" x14ac:dyDescent="0.3">
      <c r="A897" s="3" t="s">
        <v>2549</v>
      </c>
      <c r="B897" s="3" t="s">
        <v>806</v>
      </c>
      <c r="C897" s="3" t="s">
        <v>2</v>
      </c>
      <c r="D897" s="3" t="s">
        <v>2550</v>
      </c>
      <c r="E897" s="3" t="s">
        <v>2551</v>
      </c>
      <c r="F897" s="3" t="s">
        <v>155</v>
      </c>
      <c r="G897" s="3" t="s">
        <v>88</v>
      </c>
      <c r="H897" s="3" t="s">
        <v>18</v>
      </c>
      <c r="I897" s="3">
        <v>125</v>
      </c>
      <c r="J897" s="3" t="s">
        <v>179</v>
      </c>
      <c r="K897" s="3" t="s">
        <v>3</v>
      </c>
      <c r="L897" s="3" t="s">
        <v>103</v>
      </c>
      <c r="M897" s="4">
        <v>94900</v>
      </c>
      <c r="N897" s="5">
        <v>8.8000000000000007</v>
      </c>
      <c r="O897" s="4">
        <f t="shared" si="26"/>
        <v>8351.2000000000007</v>
      </c>
      <c r="P897" s="4">
        <f t="shared" si="27"/>
        <v>86548.800000000003</v>
      </c>
      <c r="Q897" s="3" t="s">
        <v>31</v>
      </c>
      <c r="R897" s="3" t="s">
        <v>67</v>
      </c>
      <c r="S897" s="3" t="s">
        <v>68</v>
      </c>
      <c r="T897" s="3" t="s">
        <v>26</v>
      </c>
    </row>
    <row r="898" spans="1:20" ht="15" customHeight="1" x14ac:dyDescent="0.3">
      <c r="A898" s="3" t="s">
        <v>2552</v>
      </c>
      <c r="B898" s="3" t="s">
        <v>809</v>
      </c>
      <c r="C898" s="3" t="s">
        <v>17</v>
      </c>
      <c r="D898" s="3" t="s">
        <v>874</v>
      </c>
      <c r="E898" s="3" t="s">
        <v>2553</v>
      </c>
      <c r="F898" s="3" t="s">
        <v>174</v>
      </c>
      <c r="G898" s="3" t="s">
        <v>201</v>
      </c>
      <c r="H898" s="3" t="s">
        <v>19</v>
      </c>
      <c r="I898" s="3">
        <v>160</v>
      </c>
      <c r="J898" s="3" t="s">
        <v>65</v>
      </c>
      <c r="K898" s="3" t="s">
        <v>11</v>
      </c>
      <c r="L898" s="3" t="s">
        <v>97</v>
      </c>
      <c r="M898" s="4">
        <v>129900</v>
      </c>
      <c r="N898" s="5">
        <v>12.9</v>
      </c>
      <c r="O898" s="4">
        <f t="shared" ref="O898:O961" si="28">M898*N898/100</f>
        <v>16757.099999999999</v>
      </c>
      <c r="P898" s="4">
        <f t="shared" ref="P898:P961" si="29">M898-O898</f>
        <v>113142.9</v>
      </c>
      <c r="Q898" s="3" t="s">
        <v>28</v>
      </c>
      <c r="R898" s="3" t="s">
        <v>67</v>
      </c>
      <c r="S898" s="3" t="s">
        <v>67</v>
      </c>
      <c r="T898" s="3" t="s">
        <v>26</v>
      </c>
    </row>
    <row r="899" spans="1:20" ht="15" customHeight="1" x14ac:dyDescent="0.3">
      <c r="A899" s="3" t="s">
        <v>2554</v>
      </c>
      <c r="B899" s="3" t="s">
        <v>521</v>
      </c>
      <c r="C899" s="3" t="s">
        <v>15</v>
      </c>
      <c r="D899" s="3" t="s">
        <v>2555</v>
      </c>
      <c r="E899" s="3" t="s">
        <v>2556</v>
      </c>
      <c r="F899" s="3" t="s">
        <v>117</v>
      </c>
      <c r="G899" s="3" t="s">
        <v>156</v>
      </c>
      <c r="H899" s="3" t="s">
        <v>21</v>
      </c>
      <c r="I899" s="3">
        <v>125</v>
      </c>
      <c r="J899" s="3" t="s">
        <v>102</v>
      </c>
      <c r="K899" s="3" t="s">
        <v>3</v>
      </c>
      <c r="L899" s="3" t="s">
        <v>90</v>
      </c>
      <c r="M899" s="4">
        <v>88900</v>
      </c>
      <c r="N899" s="5">
        <v>8.3000000000000007</v>
      </c>
      <c r="O899" s="4">
        <f t="shared" si="28"/>
        <v>7378.7000000000007</v>
      </c>
      <c r="P899" s="4">
        <f t="shared" si="29"/>
        <v>81521.3</v>
      </c>
      <c r="Q899" s="3" t="s">
        <v>38</v>
      </c>
      <c r="R899" s="3" t="s">
        <v>68</v>
      </c>
      <c r="S899" s="3" t="s">
        <v>68</v>
      </c>
      <c r="T899" s="3" t="s">
        <v>32</v>
      </c>
    </row>
    <row r="900" spans="1:20" ht="15" customHeight="1" x14ac:dyDescent="0.3">
      <c r="A900" s="3" t="s">
        <v>2557</v>
      </c>
      <c r="B900" s="3" t="s">
        <v>713</v>
      </c>
      <c r="C900" s="3" t="s">
        <v>15</v>
      </c>
      <c r="D900" s="3" t="s">
        <v>2558</v>
      </c>
      <c r="E900" s="3" t="s">
        <v>2559</v>
      </c>
      <c r="F900" s="3" t="s">
        <v>63</v>
      </c>
      <c r="G900" s="3" t="s">
        <v>135</v>
      </c>
      <c r="H900" s="3" t="s">
        <v>19</v>
      </c>
      <c r="I900" s="3">
        <v>160</v>
      </c>
      <c r="J900" s="3" t="s">
        <v>164</v>
      </c>
      <c r="K900" s="3" t="s">
        <v>11</v>
      </c>
      <c r="L900" s="3" t="s">
        <v>206</v>
      </c>
      <c r="M900" s="4">
        <v>124900</v>
      </c>
      <c r="N900" s="5">
        <v>13.1</v>
      </c>
      <c r="O900" s="4">
        <f t="shared" si="28"/>
        <v>16361.9</v>
      </c>
      <c r="P900" s="4">
        <f t="shared" si="29"/>
        <v>108538.1</v>
      </c>
      <c r="Q900" s="3" t="s">
        <v>36</v>
      </c>
      <c r="R900" s="3" t="s">
        <v>67</v>
      </c>
      <c r="S900" s="3" t="s">
        <v>68</v>
      </c>
      <c r="T900" s="3" t="s">
        <v>26</v>
      </c>
    </row>
    <row r="901" spans="1:20" ht="15" customHeight="1" x14ac:dyDescent="0.3">
      <c r="A901" s="3" t="s">
        <v>2560</v>
      </c>
      <c r="B901" s="3" t="s">
        <v>70</v>
      </c>
      <c r="C901" s="3" t="s">
        <v>2</v>
      </c>
      <c r="D901" s="3" t="s">
        <v>1020</v>
      </c>
      <c r="E901" s="3" t="s">
        <v>2561</v>
      </c>
      <c r="F901" s="3" t="s">
        <v>174</v>
      </c>
      <c r="G901" s="3" t="s">
        <v>201</v>
      </c>
      <c r="H901" s="3" t="s">
        <v>19</v>
      </c>
      <c r="I901" s="3">
        <v>160</v>
      </c>
      <c r="J901" s="3" t="s">
        <v>243</v>
      </c>
      <c r="K901" s="3" t="s">
        <v>5</v>
      </c>
      <c r="L901" s="3" t="s">
        <v>206</v>
      </c>
      <c r="M901" s="4">
        <v>129900</v>
      </c>
      <c r="N901" s="5">
        <v>5.3</v>
      </c>
      <c r="O901" s="4">
        <f t="shared" si="28"/>
        <v>6884.7</v>
      </c>
      <c r="P901" s="4">
        <f t="shared" si="29"/>
        <v>123015.3</v>
      </c>
      <c r="Q901" s="3" t="s">
        <v>25</v>
      </c>
      <c r="R901" s="3" t="s">
        <v>68</v>
      </c>
      <c r="S901" s="3" t="s">
        <v>68</v>
      </c>
      <c r="T901" s="3" t="s">
        <v>29</v>
      </c>
    </row>
    <row r="902" spans="1:20" ht="15" customHeight="1" x14ac:dyDescent="0.3">
      <c r="A902" s="3" t="s">
        <v>2562</v>
      </c>
      <c r="B902" s="3" t="s">
        <v>759</v>
      </c>
      <c r="C902" s="3" t="s">
        <v>8</v>
      </c>
      <c r="D902" s="3" t="s">
        <v>172</v>
      </c>
      <c r="E902" s="3" t="s">
        <v>2563</v>
      </c>
      <c r="F902" s="3" t="s">
        <v>79</v>
      </c>
      <c r="G902" s="3" t="s">
        <v>64</v>
      </c>
      <c r="H902" s="3" t="s">
        <v>19</v>
      </c>
      <c r="I902" s="3">
        <v>200</v>
      </c>
      <c r="J902" s="3" t="s">
        <v>164</v>
      </c>
      <c r="K902" s="3" t="s">
        <v>1</v>
      </c>
      <c r="L902" s="3" t="s">
        <v>136</v>
      </c>
      <c r="M902" s="4">
        <v>199900</v>
      </c>
      <c r="N902" s="5">
        <v>3.5</v>
      </c>
      <c r="O902" s="4">
        <f t="shared" si="28"/>
        <v>6996.5</v>
      </c>
      <c r="P902" s="4">
        <f t="shared" si="29"/>
        <v>192903.5</v>
      </c>
      <c r="Q902" s="3" t="s">
        <v>25</v>
      </c>
      <c r="R902" s="3" t="s">
        <v>67</v>
      </c>
      <c r="S902" s="3" t="s">
        <v>68</v>
      </c>
      <c r="T902" s="3" t="s">
        <v>26</v>
      </c>
    </row>
    <row r="903" spans="1:20" ht="15" customHeight="1" x14ac:dyDescent="0.3">
      <c r="A903" s="3" t="s">
        <v>2564</v>
      </c>
      <c r="B903" s="3" t="s">
        <v>410</v>
      </c>
      <c r="C903" s="3" t="s">
        <v>17</v>
      </c>
      <c r="D903" s="3" t="s">
        <v>695</v>
      </c>
      <c r="E903" s="3" t="s">
        <v>2565</v>
      </c>
      <c r="F903" s="3" t="s">
        <v>112</v>
      </c>
      <c r="G903" s="3" t="s">
        <v>80</v>
      </c>
      <c r="H903" s="3" t="s">
        <v>22</v>
      </c>
      <c r="I903" s="3">
        <v>0</v>
      </c>
      <c r="J903" s="3" t="s">
        <v>164</v>
      </c>
      <c r="K903" s="3" t="s">
        <v>11</v>
      </c>
      <c r="L903" s="3" t="s">
        <v>66</v>
      </c>
      <c r="M903" s="4">
        <v>145000</v>
      </c>
      <c r="N903" s="5">
        <v>13.9</v>
      </c>
      <c r="O903" s="4">
        <f t="shared" si="28"/>
        <v>20155</v>
      </c>
      <c r="P903" s="4">
        <f t="shared" si="29"/>
        <v>124845</v>
      </c>
      <c r="Q903" s="3" t="s">
        <v>36</v>
      </c>
      <c r="R903" s="3" t="s">
        <v>68</v>
      </c>
      <c r="S903" s="3" t="s">
        <v>68</v>
      </c>
      <c r="T903" s="3" t="s">
        <v>26</v>
      </c>
    </row>
    <row r="904" spans="1:20" ht="15" customHeight="1" x14ac:dyDescent="0.3">
      <c r="A904" s="3" t="s">
        <v>2566</v>
      </c>
      <c r="B904" s="3" t="s">
        <v>234</v>
      </c>
      <c r="C904" s="3" t="s">
        <v>14</v>
      </c>
      <c r="D904" s="3" t="s">
        <v>209</v>
      </c>
      <c r="E904" s="3" t="s">
        <v>2567</v>
      </c>
      <c r="F904" s="3" t="s">
        <v>134</v>
      </c>
      <c r="G904" s="3" t="s">
        <v>222</v>
      </c>
      <c r="H904" s="3" t="s">
        <v>19</v>
      </c>
      <c r="I904" s="3">
        <v>155</v>
      </c>
      <c r="J904" s="3" t="s">
        <v>243</v>
      </c>
      <c r="K904" s="3" t="s">
        <v>11</v>
      </c>
      <c r="L904" s="3" t="s">
        <v>97</v>
      </c>
      <c r="M904" s="4">
        <v>167900</v>
      </c>
      <c r="N904" s="5">
        <v>11.3</v>
      </c>
      <c r="O904" s="4">
        <f t="shared" si="28"/>
        <v>18972.7</v>
      </c>
      <c r="P904" s="4">
        <f t="shared" si="29"/>
        <v>148927.29999999999</v>
      </c>
      <c r="Q904" s="3" t="s">
        <v>36</v>
      </c>
      <c r="R904" s="3" t="s">
        <v>67</v>
      </c>
      <c r="S904" s="3" t="s">
        <v>68</v>
      </c>
      <c r="T904" s="3" t="s">
        <v>32</v>
      </c>
    </row>
    <row r="905" spans="1:20" ht="15" customHeight="1" x14ac:dyDescent="0.3">
      <c r="A905" s="3" t="s">
        <v>2568</v>
      </c>
      <c r="B905" s="3" t="s">
        <v>234</v>
      </c>
      <c r="C905" s="3" t="s">
        <v>14</v>
      </c>
      <c r="D905" s="3" t="s">
        <v>1215</v>
      </c>
      <c r="E905" s="3" t="s">
        <v>2569</v>
      </c>
      <c r="F905" s="3" t="s">
        <v>174</v>
      </c>
      <c r="G905" s="3" t="s">
        <v>80</v>
      </c>
      <c r="H905" s="3" t="s">
        <v>22</v>
      </c>
      <c r="I905" s="3">
        <v>0</v>
      </c>
      <c r="J905" s="3" t="s">
        <v>96</v>
      </c>
      <c r="K905" s="3" t="s">
        <v>9</v>
      </c>
      <c r="L905" s="3" t="s">
        <v>90</v>
      </c>
      <c r="M905" s="4">
        <v>145000</v>
      </c>
      <c r="N905" s="5">
        <v>9.4</v>
      </c>
      <c r="O905" s="4">
        <f t="shared" si="28"/>
        <v>13630</v>
      </c>
      <c r="P905" s="4">
        <f t="shared" si="29"/>
        <v>131370</v>
      </c>
      <c r="Q905" s="3" t="s">
        <v>36</v>
      </c>
      <c r="R905" s="3" t="s">
        <v>67</v>
      </c>
      <c r="S905" s="3" t="s">
        <v>67</v>
      </c>
      <c r="T905" s="3" t="s">
        <v>32</v>
      </c>
    </row>
    <row r="906" spans="1:20" ht="15" customHeight="1" x14ac:dyDescent="0.3">
      <c r="A906" s="3" t="s">
        <v>2570</v>
      </c>
      <c r="B906" s="3" t="s">
        <v>924</v>
      </c>
      <c r="C906" s="3" t="s">
        <v>14</v>
      </c>
      <c r="D906" s="3" t="s">
        <v>2571</v>
      </c>
      <c r="E906" s="3" t="s">
        <v>2572</v>
      </c>
      <c r="F906" s="3" t="s">
        <v>87</v>
      </c>
      <c r="G906" s="3" t="s">
        <v>324</v>
      </c>
      <c r="H906" s="3" t="s">
        <v>19</v>
      </c>
      <c r="I906" s="3">
        <v>149</v>
      </c>
      <c r="J906" s="3" t="s">
        <v>119</v>
      </c>
      <c r="K906" s="3" t="s">
        <v>11</v>
      </c>
      <c r="L906" s="3" t="s">
        <v>97</v>
      </c>
      <c r="M906" s="4">
        <v>119900</v>
      </c>
      <c r="N906" s="5">
        <v>11.4</v>
      </c>
      <c r="O906" s="4">
        <f t="shared" si="28"/>
        <v>13668.6</v>
      </c>
      <c r="P906" s="4">
        <f t="shared" si="29"/>
        <v>106231.4</v>
      </c>
      <c r="Q906" s="3" t="s">
        <v>40</v>
      </c>
      <c r="R906" s="3" t="s">
        <v>67</v>
      </c>
      <c r="S906" s="3" t="s">
        <v>67</v>
      </c>
      <c r="T906" s="3" t="s">
        <v>26</v>
      </c>
    </row>
    <row r="907" spans="1:20" ht="15" customHeight="1" x14ac:dyDescent="0.3">
      <c r="A907" s="3" t="s">
        <v>2573</v>
      </c>
      <c r="B907" s="3" t="s">
        <v>573</v>
      </c>
      <c r="C907" s="3" t="s">
        <v>12</v>
      </c>
      <c r="D907" s="3" t="s">
        <v>777</v>
      </c>
      <c r="E907" s="3" t="s">
        <v>2574</v>
      </c>
      <c r="F907" s="3" t="s">
        <v>63</v>
      </c>
      <c r="G907" s="3" t="s">
        <v>201</v>
      </c>
      <c r="H907" s="3" t="s">
        <v>19</v>
      </c>
      <c r="I907" s="3">
        <v>160</v>
      </c>
      <c r="J907" s="3" t="s">
        <v>81</v>
      </c>
      <c r="K907" s="3" t="s">
        <v>7</v>
      </c>
      <c r="L907" s="3" t="s">
        <v>82</v>
      </c>
      <c r="M907" s="4">
        <v>129900</v>
      </c>
      <c r="N907" s="5">
        <v>11.9</v>
      </c>
      <c r="O907" s="4">
        <f t="shared" si="28"/>
        <v>15458.1</v>
      </c>
      <c r="P907" s="4">
        <f t="shared" si="29"/>
        <v>114441.9</v>
      </c>
      <c r="Q907" s="3" t="s">
        <v>36</v>
      </c>
      <c r="R907" s="3" t="s">
        <v>68</v>
      </c>
      <c r="S907" s="3" t="s">
        <v>68</v>
      </c>
      <c r="T907" s="3" t="s">
        <v>29</v>
      </c>
    </row>
    <row r="908" spans="1:20" ht="15" customHeight="1" x14ac:dyDescent="0.3">
      <c r="A908" s="3" t="s">
        <v>2575</v>
      </c>
      <c r="B908" s="3" t="s">
        <v>126</v>
      </c>
      <c r="C908" s="3" t="s">
        <v>14</v>
      </c>
      <c r="D908" s="3" t="s">
        <v>2085</v>
      </c>
      <c r="E908" s="3" t="s">
        <v>2576</v>
      </c>
      <c r="F908" s="3" t="s">
        <v>174</v>
      </c>
      <c r="G908" s="3" t="s">
        <v>156</v>
      </c>
      <c r="H908" s="3" t="s">
        <v>21</v>
      </c>
      <c r="I908" s="3">
        <v>125</v>
      </c>
      <c r="J908" s="3" t="s">
        <v>119</v>
      </c>
      <c r="K908" s="3" t="s">
        <v>9</v>
      </c>
      <c r="L908" s="3" t="s">
        <v>103</v>
      </c>
      <c r="M908" s="4">
        <v>88900</v>
      </c>
      <c r="N908" s="5">
        <v>5.7</v>
      </c>
      <c r="O908" s="4">
        <f t="shared" si="28"/>
        <v>5067.3</v>
      </c>
      <c r="P908" s="4">
        <f t="shared" si="29"/>
        <v>83832.7</v>
      </c>
      <c r="Q908" s="3" t="s">
        <v>40</v>
      </c>
      <c r="R908" s="3" t="s">
        <v>67</v>
      </c>
      <c r="S908" s="3" t="s">
        <v>68</v>
      </c>
      <c r="T908" s="3" t="s">
        <v>26</v>
      </c>
    </row>
    <row r="909" spans="1:20" ht="15" customHeight="1" x14ac:dyDescent="0.3">
      <c r="A909" s="3" t="s">
        <v>2577</v>
      </c>
      <c r="B909" s="3" t="s">
        <v>289</v>
      </c>
      <c r="C909" s="3" t="s">
        <v>4</v>
      </c>
      <c r="D909" s="3" t="s">
        <v>2163</v>
      </c>
      <c r="E909" s="3" t="s">
        <v>2578</v>
      </c>
      <c r="F909" s="3" t="s">
        <v>145</v>
      </c>
      <c r="G909" s="3" t="s">
        <v>146</v>
      </c>
      <c r="H909" s="3" t="s">
        <v>18</v>
      </c>
      <c r="I909" s="3">
        <v>110</v>
      </c>
      <c r="J909" s="3" t="s">
        <v>129</v>
      </c>
      <c r="K909" s="3" t="s">
        <v>5</v>
      </c>
      <c r="L909" s="3" t="s">
        <v>82</v>
      </c>
      <c r="M909" s="4">
        <v>74900</v>
      </c>
      <c r="N909" s="5">
        <v>8.4</v>
      </c>
      <c r="O909" s="4">
        <f t="shared" si="28"/>
        <v>6291.6</v>
      </c>
      <c r="P909" s="4">
        <f t="shared" si="29"/>
        <v>68608.399999999994</v>
      </c>
      <c r="Q909" s="3" t="s">
        <v>31</v>
      </c>
      <c r="R909" s="3" t="s">
        <v>67</v>
      </c>
      <c r="S909" s="3" t="s">
        <v>68</v>
      </c>
      <c r="T909" s="3" t="s">
        <v>26</v>
      </c>
    </row>
    <row r="910" spans="1:20" ht="15" customHeight="1" x14ac:dyDescent="0.3">
      <c r="A910" s="3" t="s">
        <v>2579</v>
      </c>
      <c r="B910" s="3" t="s">
        <v>114</v>
      </c>
      <c r="C910" s="3" t="s">
        <v>4</v>
      </c>
      <c r="D910" s="3" t="s">
        <v>2580</v>
      </c>
      <c r="E910" s="3" t="s">
        <v>2581</v>
      </c>
      <c r="F910" s="3" t="s">
        <v>117</v>
      </c>
      <c r="G910" s="3" t="s">
        <v>73</v>
      </c>
      <c r="H910" s="3" t="s">
        <v>21</v>
      </c>
      <c r="I910" s="3">
        <v>110</v>
      </c>
      <c r="J910" s="3" t="s">
        <v>65</v>
      </c>
      <c r="K910" s="3" t="s">
        <v>1</v>
      </c>
      <c r="L910" s="3" t="s">
        <v>74</v>
      </c>
      <c r="M910" s="4">
        <v>79900</v>
      </c>
      <c r="N910" s="5">
        <v>7</v>
      </c>
      <c r="O910" s="4">
        <f t="shared" si="28"/>
        <v>5593</v>
      </c>
      <c r="P910" s="4">
        <f t="shared" si="29"/>
        <v>74307</v>
      </c>
      <c r="Q910" s="3" t="s">
        <v>28</v>
      </c>
      <c r="R910" s="3" t="s">
        <v>68</v>
      </c>
      <c r="S910" s="3" t="s">
        <v>68</v>
      </c>
      <c r="T910" s="3" t="s">
        <v>32</v>
      </c>
    </row>
    <row r="911" spans="1:20" ht="15" customHeight="1" x14ac:dyDescent="0.3">
      <c r="A911" s="3" t="s">
        <v>2582</v>
      </c>
      <c r="B911" s="3" t="s">
        <v>121</v>
      </c>
      <c r="C911" s="3" t="s">
        <v>13</v>
      </c>
      <c r="D911" s="3" t="s">
        <v>1766</v>
      </c>
      <c r="E911" s="3" t="s">
        <v>2583</v>
      </c>
      <c r="F911" s="3" t="s">
        <v>145</v>
      </c>
      <c r="G911" s="3" t="s">
        <v>256</v>
      </c>
      <c r="H911" s="3" t="s">
        <v>21</v>
      </c>
      <c r="I911" s="3">
        <v>110</v>
      </c>
      <c r="J911" s="3" t="s">
        <v>119</v>
      </c>
      <c r="K911" s="3" t="s">
        <v>11</v>
      </c>
      <c r="L911" s="3" t="s">
        <v>206</v>
      </c>
      <c r="M911" s="4">
        <v>80900</v>
      </c>
      <c r="N911" s="5">
        <v>6.3</v>
      </c>
      <c r="O911" s="4">
        <f t="shared" si="28"/>
        <v>5096.7</v>
      </c>
      <c r="P911" s="4">
        <f t="shared" si="29"/>
        <v>75803.3</v>
      </c>
      <c r="Q911" s="3" t="s">
        <v>31</v>
      </c>
      <c r="R911" s="3" t="s">
        <v>67</v>
      </c>
      <c r="S911" s="3" t="s">
        <v>67</v>
      </c>
      <c r="T911" s="3" t="s">
        <v>26</v>
      </c>
    </row>
    <row r="912" spans="1:20" ht="15" customHeight="1" x14ac:dyDescent="0.3">
      <c r="A912" s="3" t="s">
        <v>2584</v>
      </c>
      <c r="B912" s="3" t="s">
        <v>676</v>
      </c>
      <c r="C912" s="3" t="s">
        <v>15</v>
      </c>
      <c r="D912" s="3" t="s">
        <v>2585</v>
      </c>
      <c r="E912" s="3" t="s">
        <v>2586</v>
      </c>
      <c r="F912" s="3" t="s">
        <v>134</v>
      </c>
      <c r="G912" s="3" t="s">
        <v>118</v>
      </c>
      <c r="H912" s="3" t="s">
        <v>20</v>
      </c>
      <c r="I912" s="3">
        <v>350</v>
      </c>
      <c r="J912" s="3" t="s">
        <v>96</v>
      </c>
      <c r="K912" s="3" t="s">
        <v>5</v>
      </c>
      <c r="L912" s="3" t="s">
        <v>82</v>
      </c>
      <c r="M912" s="4">
        <v>159900</v>
      </c>
      <c r="N912" s="5">
        <v>9.6</v>
      </c>
      <c r="O912" s="4">
        <f t="shared" si="28"/>
        <v>15350.4</v>
      </c>
      <c r="P912" s="4">
        <f t="shared" si="29"/>
        <v>144549.6</v>
      </c>
      <c r="Q912" s="3" t="s">
        <v>38</v>
      </c>
      <c r="R912" s="3" t="s">
        <v>68</v>
      </c>
      <c r="S912" s="3" t="s">
        <v>67</v>
      </c>
      <c r="T912" s="3" t="s">
        <v>26</v>
      </c>
    </row>
    <row r="913" spans="1:20" ht="15" customHeight="1" x14ac:dyDescent="0.3">
      <c r="A913" s="3" t="s">
        <v>2587</v>
      </c>
      <c r="B913" s="3" t="s">
        <v>1486</v>
      </c>
      <c r="C913" s="3" t="s">
        <v>16</v>
      </c>
      <c r="D913" s="3" t="s">
        <v>1048</v>
      </c>
      <c r="E913" s="3" t="s">
        <v>2588</v>
      </c>
      <c r="F913" s="3" t="s">
        <v>134</v>
      </c>
      <c r="G913" s="3" t="s">
        <v>222</v>
      </c>
      <c r="H913" s="3" t="s">
        <v>19</v>
      </c>
      <c r="I913" s="3">
        <v>155</v>
      </c>
      <c r="J913" s="3" t="s">
        <v>89</v>
      </c>
      <c r="K913" s="3" t="s">
        <v>5</v>
      </c>
      <c r="L913" s="3" t="s">
        <v>82</v>
      </c>
      <c r="M913" s="4">
        <v>167900</v>
      </c>
      <c r="N913" s="5">
        <v>7.5</v>
      </c>
      <c r="O913" s="4">
        <f t="shared" si="28"/>
        <v>12592.5</v>
      </c>
      <c r="P913" s="4">
        <f t="shared" si="29"/>
        <v>155307.5</v>
      </c>
      <c r="Q913" s="3" t="s">
        <v>25</v>
      </c>
      <c r="R913" s="3" t="s">
        <v>67</v>
      </c>
      <c r="S913" s="3" t="s">
        <v>68</v>
      </c>
      <c r="T913" s="3" t="s">
        <v>26</v>
      </c>
    </row>
    <row r="914" spans="1:20" ht="15" customHeight="1" x14ac:dyDescent="0.3">
      <c r="A914" s="3" t="s">
        <v>2589</v>
      </c>
      <c r="B914" s="3" t="s">
        <v>1067</v>
      </c>
      <c r="C914" s="3" t="s">
        <v>17</v>
      </c>
      <c r="D914" s="3" t="s">
        <v>726</v>
      </c>
      <c r="E914" s="3" t="s">
        <v>2590</v>
      </c>
      <c r="F914" s="3" t="s">
        <v>174</v>
      </c>
      <c r="G914" s="3" t="s">
        <v>189</v>
      </c>
      <c r="H914" s="3" t="s">
        <v>18</v>
      </c>
      <c r="I914" s="3">
        <v>100</v>
      </c>
      <c r="J914" s="3" t="s">
        <v>89</v>
      </c>
      <c r="K914" s="3" t="s">
        <v>11</v>
      </c>
      <c r="L914" s="3" t="s">
        <v>74</v>
      </c>
      <c r="M914" s="4">
        <v>72900</v>
      </c>
      <c r="N914" s="5">
        <v>7.9</v>
      </c>
      <c r="O914" s="4">
        <f t="shared" si="28"/>
        <v>5759.1</v>
      </c>
      <c r="P914" s="4">
        <f t="shared" si="29"/>
        <v>67140.899999999994</v>
      </c>
      <c r="Q914" s="3" t="s">
        <v>34</v>
      </c>
      <c r="R914" s="3" t="s">
        <v>67</v>
      </c>
      <c r="S914" s="3" t="s">
        <v>68</v>
      </c>
      <c r="T914" s="3" t="s">
        <v>26</v>
      </c>
    </row>
    <row r="915" spans="1:20" ht="15" customHeight="1" x14ac:dyDescent="0.3">
      <c r="A915" s="3" t="s">
        <v>2591</v>
      </c>
      <c r="B915" s="3" t="s">
        <v>126</v>
      </c>
      <c r="C915" s="3" t="s">
        <v>14</v>
      </c>
      <c r="D915" s="3" t="s">
        <v>2592</v>
      </c>
      <c r="E915" s="3" t="s">
        <v>2593</v>
      </c>
      <c r="F915" s="3" t="s">
        <v>79</v>
      </c>
      <c r="G915" s="3" t="s">
        <v>146</v>
      </c>
      <c r="H915" s="3" t="s">
        <v>18</v>
      </c>
      <c r="I915" s="3">
        <v>110</v>
      </c>
      <c r="J915" s="3" t="s">
        <v>164</v>
      </c>
      <c r="K915" s="3" t="s">
        <v>11</v>
      </c>
      <c r="L915" s="3" t="s">
        <v>74</v>
      </c>
      <c r="M915" s="4">
        <v>74900</v>
      </c>
      <c r="N915" s="5">
        <v>14.5</v>
      </c>
      <c r="O915" s="4">
        <f t="shared" si="28"/>
        <v>10860.5</v>
      </c>
      <c r="P915" s="4">
        <f t="shared" si="29"/>
        <v>64039.5</v>
      </c>
      <c r="Q915" s="3" t="s">
        <v>34</v>
      </c>
      <c r="R915" s="3" t="s">
        <v>68</v>
      </c>
      <c r="S915" s="3" t="s">
        <v>68</v>
      </c>
      <c r="T915" s="3" t="s">
        <v>26</v>
      </c>
    </row>
    <row r="916" spans="1:20" ht="15" customHeight="1" x14ac:dyDescent="0.3">
      <c r="A916" s="3" t="s">
        <v>2594</v>
      </c>
      <c r="B916" s="3" t="s">
        <v>158</v>
      </c>
      <c r="C916" s="3" t="s">
        <v>10</v>
      </c>
      <c r="D916" s="3" t="s">
        <v>2595</v>
      </c>
      <c r="E916" s="3" t="s">
        <v>2596</v>
      </c>
      <c r="F916" s="3" t="s">
        <v>112</v>
      </c>
      <c r="G916" s="3" t="s">
        <v>324</v>
      </c>
      <c r="H916" s="3" t="s">
        <v>19</v>
      </c>
      <c r="I916" s="3">
        <v>149</v>
      </c>
      <c r="J916" s="3" t="s">
        <v>119</v>
      </c>
      <c r="K916" s="3" t="s">
        <v>3</v>
      </c>
      <c r="L916" s="3" t="s">
        <v>206</v>
      </c>
      <c r="M916" s="4">
        <v>119900</v>
      </c>
      <c r="N916" s="5">
        <v>6.6</v>
      </c>
      <c r="O916" s="4">
        <f t="shared" si="28"/>
        <v>7913.4</v>
      </c>
      <c r="P916" s="4">
        <f t="shared" si="29"/>
        <v>111986.6</v>
      </c>
      <c r="Q916" s="3" t="s">
        <v>40</v>
      </c>
      <c r="R916" s="3" t="s">
        <v>67</v>
      </c>
      <c r="S916" s="3" t="s">
        <v>67</v>
      </c>
      <c r="T916" s="3" t="s">
        <v>29</v>
      </c>
    </row>
    <row r="917" spans="1:20" ht="15" customHeight="1" x14ac:dyDescent="0.3">
      <c r="A917" s="3" t="s">
        <v>2597</v>
      </c>
      <c r="B917" s="3" t="s">
        <v>564</v>
      </c>
      <c r="C917" s="3" t="s">
        <v>13</v>
      </c>
      <c r="D917" s="3" t="s">
        <v>2598</v>
      </c>
      <c r="E917" s="3" t="s">
        <v>2599</v>
      </c>
      <c r="F917" s="3" t="s">
        <v>155</v>
      </c>
      <c r="G917" s="3" t="s">
        <v>222</v>
      </c>
      <c r="H917" s="3" t="s">
        <v>19</v>
      </c>
      <c r="I917" s="3">
        <v>155</v>
      </c>
      <c r="J917" s="3" t="s">
        <v>96</v>
      </c>
      <c r="K917" s="3" t="s">
        <v>11</v>
      </c>
      <c r="L917" s="3" t="s">
        <v>90</v>
      </c>
      <c r="M917" s="4">
        <v>167900</v>
      </c>
      <c r="N917" s="5">
        <v>10.8</v>
      </c>
      <c r="O917" s="4">
        <f t="shared" si="28"/>
        <v>18133.2</v>
      </c>
      <c r="P917" s="4">
        <f t="shared" si="29"/>
        <v>149766.79999999999</v>
      </c>
      <c r="Q917" s="3" t="s">
        <v>25</v>
      </c>
      <c r="R917" s="3" t="s">
        <v>67</v>
      </c>
      <c r="S917" s="3" t="s">
        <v>68</v>
      </c>
      <c r="T917" s="3" t="s">
        <v>32</v>
      </c>
    </row>
    <row r="918" spans="1:20" ht="15" customHeight="1" x14ac:dyDescent="0.3">
      <c r="A918" s="3" t="s">
        <v>2600</v>
      </c>
      <c r="B918" s="3" t="s">
        <v>826</v>
      </c>
      <c r="C918" s="3" t="s">
        <v>0</v>
      </c>
      <c r="D918" s="3" t="s">
        <v>1721</v>
      </c>
      <c r="E918" s="3" t="s">
        <v>2601</v>
      </c>
      <c r="F918" s="3" t="s">
        <v>134</v>
      </c>
      <c r="G918" s="3" t="s">
        <v>156</v>
      </c>
      <c r="H918" s="3" t="s">
        <v>21</v>
      </c>
      <c r="I918" s="3">
        <v>125</v>
      </c>
      <c r="J918" s="3" t="s">
        <v>96</v>
      </c>
      <c r="K918" s="3" t="s">
        <v>3</v>
      </c>
      <c r="L918" s="3" t="s">
        <v>82</v>
      </c>
      <c r="M918" s="4">
        <v>88900</v>
      </c>
      <c r="N918" s="5">
        <v>9.9</v>
      </c>
      <c r="O918" s="4">
        <f t="shared" si="28"/>
        <v>8801.1</v>
      </c>
      <c r="P918" s="4">
        <f t="shared" si="29"/>
        <v>80098.899999999994</v>
      </c>
      <c r="Q918" s="3" t="s">
        <v>34</v>
      </c>
      <c r="R918" s="3" t="s">
        <v>68</v>
      </c>
      <c r="S918" s="3" t="s">
        <v>67</v>
      </c>
      <c r="T918" s="3" t="s">
        <v>26</v>
      </c>
    </row>
    <row r="919" spans="1:20" ht="15" customHeight="1" x14ac:dyDescent="0.3">
      <c r="A919" s="3" t="s">
        <v>2602</v>
      </c>
      <c r="B919" s="3" t="s">
        <v>318</v>
      </c>
      <c r="C919" s="3" t="s">
        <v>10</v>
      </c>
      <c r="D919" s="3" t="s">
        <v>2603</v>
      </c>
      <c r="E919" s="3" t="s">
        <v>2604</v>
      </c>
      <c r="F919" s="3" t="s">
        <v>63</v>
      </c>
      <c r="G919" s="3" t="s">
        <v>169</v>
      </c>
      <c r="H919" s="3" t="s">
        <v>18</v>
      </c>
      <c r="I919" s="3">
        <v>162</v>
      </c>
      <c r="J919" s="3" t="s">
        <v>164</v>
      </c>
      <c r="K919" s="3" t="s">
        <v>3</v>
      </c>
      <c r="L919" s="3" t="s">
        <v>82</v>
      </c>
      <c r="M919" s="4">
        <v>124900</v>
      </c>
      <c r="N919" s="5">
        <v>3.2</v>
      </c>
      <c r="O919" s="4">
        <f t="shared" si="28"/>
        <v>3996.8</v>
      </c>
      <c r="P919" s="4">
        <f t="shared" si="29"/>
        <v>120903.2</v>
      </c>
      <c r="Q919" s="3" t="s">
        <v>25</v>
      </c>
      <c r="R919" s="3" t="s">
        <v>68</v>
      </c>
      <c r="S919" s="3" t="s">
        <v>67</v>
      </c>
      <c r="T919" s="3" t="s">
        <v>29</v>
      </c>
    </row>
    <row r="920" spans="1:20" ht="15" customHeight="1" x14ac:dyDescent="0.3">
      <c r="A920" s="3" t="s">
        <v>2605</v>
      </c>
      <c r="B920" s="3" t="s">
        <v>564</v>
      </c>
      <c r="C920" s="3" t="s">
        <v>13</v>
      </c>
      <c r="D920" s="3" t="s">
        <v>2606</v>
      </c>
      <c r="E920" s="3" t="s">
        <v>2607</v>
      </c>
      <c r="F920" s="3" t="s">
        <v>134</v>
      </c>
      <c r="G920" s="3" t="s">
        <v>189</v>
      </c>
      <c r="H920" s="3" t="s">
        <v>18</v>
      </c>
      <c r="I920" s="3">
        <v>100</v>
      </c>
      <c r="J920" s="3" t="s">
        <v>102</v>
      </c>
      <c r="K920" s="3" t="s">
        <v>11</v>
      </c>
      <c r="L920" s="3" t="s">
        <v>74</v>
      </c>
      <c r="M920" s="4">
        <v>72900</v>
      </c>
      <c r="N920" s="5">
        <v>12.5</v>
      </c>
      <c r="O920" s="4">
        <f t="shared" si="28"/>
        <v>9112.5</v>
      </c>
      <c r="P920" s="4">
        <f t="shared" si="29"/>
        <v>63787.5</v>
      </c>
      <c r="Q920" s="3" t="s">
        <v>38</v>
      </c>
      <c r="R920" s="3" t="s">
        <v>68</v>
      </c>
      <c r="S920" s="3" t="s">
        <v>68</v>
      </c>
      <c r="T920" s="3" t="s">
        <v>32</v>
      </c>
    </row>
    <row r="921" spans="1:20" ht="15" customHeight="1" x14ac:dyDescent="0.3">
      <c r="A921" s="3" t="s">
        <v>2608</v>
      </c>
      <c r="B921" s="3" t="s">
        <v>759</v>
      </c>
      <c r="C921" s="3" t="s">
        <v>8</v>
      </c>
      <c r="D921" s="3" t="s">
        <v>2211</v>
      </c>
      <c r="E921" s="3" t="s">
        <v>2609</v>
      </c>
      <c r="F921" s="3" t="s">
        <v>145</v>
      </c>
      <c r="G921" s="3" t="s">
        <v>73</v>
      </c>
      <c r="H921" s="3" t="s">
        <v>21</v>
      </c>
      <c r="I921" s="3">
        <v>110</v>
      </c>
      <c r="J921" s="3" t="s">
        <v>81</v>
      </c>
      <c r="K921" s="3" t="s">
        <v>3</v>
      </c>
      <c r="L921" s="3" t="s">
        <v>66</v>
      </c>
      <c r="M921" s="4">
        <v>79900</v>
      </c>
      <c r="N921" s="5">
        <v>14.6</v>
      </c>
      <c r="O921" s="4">
        <f t="shared" si="28"/>
        <v>11665.4</v>
      </c>
      <c r="P921" s="4">
        <f t="shared" si="29"/>
        <v>68234.600000000006</v>
      </c>
      <c r="Q921" s="3" t="s">
        <v>28</v>
      </c>
      <c r="R921" s="3" t="s">
        <v>67</v>
      </c>
      <c r="S921" s="3" t="s">
        <v>68</v>
      </c>
      <c r="T921" s="3" t="s">
        <v>32</v>
      </c>
    </row>
    <row r="922" spans="1:20" ht="15" customHeight="1" x14ac:dyDescent="0.3">
      <c r="A922" s="3" t="s">
        <v>2610</v>
      </c>
      <c r="B922" s="3" t="s">
        <v>142</v>
      </c>
      <c r="C922" s="3" t="s">
        <v>16</v>
      </c>
      <c r="D922" s="3" t="s">
        <v>2325</v>
      </c>
      <c r="E922" s="3" t="s">
        <v>2611</v>
      </c>
      <c r="F922" s="3" t="s">
        <v>155</v>
      </c>
      <c r="G922" s="3" t="s">
        <v>73</v>
      </c>
      <c r="H922" s="3" t="s">
        <v>21</v>
      </c>
      <c r="I922" s="3">
        <v>110</v>
      </c>
      <c r="J922" s="3" t="s">
        <v>96</v>
      </c>
      <c r="K922" s="3" t="s">
        <v>11</v>
      </c>
      <c r="L922" s="3" t="s">
        <v>82</v>
      </c>
      <c r="M922" s="4">
        <v>79900</v>
      </c>
      <c r="N922" s="5">
        <v>5.9</v>
      </c>
      <c r="O922" s="4">
        <f t="shared" si="28"/>
        <v>4714.1000000000004</v>
      </c>
      <c r="P922" s="4">
        <f t="shared" si="29"/>
        <v>75185.899999999994</v>
      </c>
      <c r="Q922" s="3" t="s">
        <v>28</v>
      </c>
      <c r="R922" s="3" t="s">
        <v>67</v>
      </c>
      <c r="S922" s="3" t="s">
        <v>68</v>
      </c>
      <c r="T922" s="3" t="s">
        <v>29</v>
      </c>
    </row>
    <row r="923" spans="1:20" ht="15" customHeight="1" x14ac:dyDescent="0.3">
      <c r="A923" s="3" t="s">
        <v>2612</v>
      </c>
      <c r="B923" s="3" t="s">
        <v>330</v>
      </c>
      <c r="C923" s="3" t="s">
        <v>4</v>
      </c>
      <c r="D923" s="3" t="s">
        <v>835</v>
      </c>
      <c r="E923" s="3" t="s">
        <v>2613</v>
      </c>
      <c r="F923" s="3" t="s">
        <v>155</v>
      </c>
      <c r="G923" s="3" t="s">
        <v>256</v>
      </c>
      <c r="H923" s="3" t="s">
        <v>21</v>
      </c>
      <c r="I923" s="3">
        <v>110</v>
      </c>
      <c r="J923" s="3" t="s">
        <v>243</v>
      </c>
      <c r="K923" s="3" t="s">
        <v>1</v>
      </c>
      <c r="L923" s="3" t="s">
        <v>206</v>
      </c>
      <c r="M923" s="4">
        <v>80900</v>
      </c>
      <c r="N923" s="5">
        <v>8.8000000000000007</v>
      </c>
      <c r="O923" s="4">
        <f t="shared" si="28"/>
        <v>7119.2</v>
      </c>
      <c r="P923" s="4">
        <f t="shared" si="29"/>
        <v>73780.800000000003</v>
      </c>
      <c r="Q923" s="3" t="s">
        <v>34</v>
      </c>
      <c r="R923" s="3" t="s">
        <v>67</v>
      </c>
      <c r="S923" s="3" t="s">
        <v>68</v>
      </c>
      <c r="T923" s="3" t="s">
        <v>32</v>
      </c>
    </row>
    <row r="924" spans="1:20" ht="15" customHeight="1" x14ac:dyDescent="0.3">
      <c r="A924" s="3" t="s">
        <v>2614</v>
      </c>
      <c r="B924" s="3" t="s">
        <v>384</v>
      </c>
      <c r="C924" s="3" t="s">
        <v>15</v>
      </c>
      <c r="D924" s="3" t="s">
        <v>1029</v>
      </c>
      <c r="E924" s="3" t="s">
        <v>2615</v>
      </c>
      <c r="F924" s="3" t="s">
        <v>112</v>
      </c>
      <c r="G924" s="3" t="s">
        <v>211</v>
      </c>
      <c r="H924" s="3" t="s">
        <v>20</v>
      </c>
      <c r="I924" s="3">
        <v>350</v>
      </c>
      <c r="J924" s="3" t="s">
        <v>81</v>
      </c>
      <c r="K924" s="3" t="s">
        <v>3</v>
      </c>
      <c r="L924" s="3" t="s">
        <v>74</v>
      </c>
      <c r="M924" s="4">
        <v>199900</v>
      </c>
      <c r="N924" s="5">
        <v>7</v>
      </c>
      <c r="O924" s="4">
        <f t="shared" si="28"/>
        <v>13993</v>
      </c>
      <c r="P924" s="4">
        <f t="shared" si="29"/>
        <v>185907</v>
      </c>
      <c r="Q924" s="3" t="s">
        <v>28</v>
      </c>
      <c r="R924" s="3" t="s">
        <v>68</v>
      </c>
      <c r="S924" s="3" t="s">
        <v>67</v>
      </c>
      <c r="T924" s="3" t="s">
        <v>26</v>
      </c>
    </row>
    <row r="925" spans="1:20" ht="15" customHeight="1" x14ac:dyDescent="0.3">
      <c r="A925" s="3" t="s">
        <v>2616</v>
      </c>
      <c r="B925" s="3" t="s">
        <v>70</v>
      </c>
      <c r="C925" s="3" t="s">
        <v>2</v>
      </c>
      <c r="D925" s="3" t="s">
        <v>1086</v>
      </c>
      <c r="E925" s="3" t="s">
        <v>2617</v>
      </c>
      <c r="F925" s="3" t="s">
        <v>174</v>
      </c>
      <c r="G925" s="3" t="s">
        <v>222</v>
      </c>
      <c r="H925" s="3" t="s">
        <v>19</v>
      </c>
      <c r="I925" s="3">
        <v>155</v>
      </c>
      <c r="J925" s="3" t="s">
        <v>102</v>
      </c>
      <c r="K925" s="3" t="s">
        <v>3</v>
      </c>
      <c r="L925" s="3" t="s">
        <v>206</v>
      </c>
      <c r="M925" s="4">
        <v>167900</v>
      </c>
      <c r="N925" s="5">
        <v>3.5</v>
      </c>
      <c r="O925" s="4">
        <f t="shared" si="28"/>
        <v>5876.5</v>
      </c>
      <c r="P925" s="4">
        <f t="shared" si="29"/>
        <v>162023.5</v>
      </c>
      <c r="Q925" s="3" t="s">
        <v>31</v>
      </c>
      <c r="R925" s="3" t="s">
        <v>67</v>
      </c>
      <c r="S925" s="3" t="s">
        <v>68</v>
      </c>
      <c r="T925" s="3" t="s">
        <v>26</v>
      </c>
    </row>
    <row r="926" spans="1:20" ht="15" customHeight="1" x14ac:dyDescent="0.3">
      <c r="A926" s="3" t="s">
        <v>2618</v>
      </c>
      <c r="B926" s="3" t="s">
        <v>812</v>
      </c>
      <c r="C926" s="3" t="s">
        <v>8</v>
      </c>
      <c r="D926" s="3" t="s">
        <v>331</v>
      </c>
      <c r="E926" s="3" t="s">
        <v>2619</v>
      </c>
      <c r="F926" s="3" t="s">
        <v>87</v>
      </c>
      <c r="G926" s="3" t="s">
        <v>73</v>
      </c>
      <c r="H926" s="3" t="s">
        <v>21</v>
      </c>
      <c r="I926" s="3">
        <v>110</v>
      </c>
      <c r="J926" s="3" t="s">
        <v>129</v>
      </c>
      <c r="K926" s="3" t="s">
        <v>7</v>
      </c>
      <c r="L926" s="3" t="s">
        <v>66</v>
      </c>
      <c r="M926" s="4">
        <v>79900</v>
      </c>
      <c r="N926" s="5">
        <v>5.0999999999999996</v>
      </c>
      <c r="O926" s="4">
        <f t="shared" si="28"/>
        <v>4074.9</v>
      </c>
      <c r="P926" s="4">
        <f t="shared" si="29"/>
        <v>75825.100000000006</v>
      </c>
      <c r="Q926" s="3" t="s">
        <v>36</v>
      </c>
      <c r="R926" s="3" t="s">
        <v>67</v>
      </c>
      <c r="S926" s="3" t="s">
        <v>68</v>
      </c>
      <c r="T926" s="3" t="s">
        <v>26</v>
      </c>
    </row>
    <row r="927" spans="1:20" ht="15" customHeight="1" x14ac:dyDescent="0.3">
      <c r="A927" s="3" t="s">
        <v>2620</v>
      </c>
      <c r="B927" s="3" t="s">
        <v>261</v>
      </c>
      <c r="C927" s="3" t="s">
        <v>13</v>
      </c>
      <c r="D927" s="3" t="s">
        <v>195</v>
      </c>
      <c r="E927" s="3" t="s">
        <v>2621</v>
      </c>
      <c r="F927" s="3" t="s">
        <v>174</v>
      </c>
      <c r="G927" s="3" t="s">
        <v>73</v>
      </c>
      <c r="H927" s="3" t="s">
        <v>21</v>
      </c>
      <c r="I927" s="3">
        <v>110</v>
      </c>
      <c r="J927" s="3" t="s">
        <v>129</v>
      </c>
      <c r="K927" s="3" t="s">
        <v>7</v>
      </c>
      <c r="L927" s="3" t="s">
        <v>136</v>
      </c>
      <c r="M927" s="4">
        <v>79900</v>
      </c>
      <c r="N927" s="5">
        <v>5.5</v>
      </c>
      <c r="O927" s="4">
        <f t="shared" si="28"/>
        <v>4394.5</v>
      </c>
      <c r="P927" s="4">
        <f t="shared" si="29"/>
        <v>75505.5</v>
      </c>
      <c r="Q927" s="3" t="s">
        <v>34</v>
      </c>
      <c r="R927" s="3" t="s">
        <v>67</v>
      </c>
      <c r="S927" s="3" t="s">
        <v>68</v>
      </c>
      <c r="T927" s="3" t="s">
        <v>26</v>
      </c>
    </row>
    <row r="928" spans="1:20" ht="15" customHeight="1" x14ac:dyDescent="0.3">
      <c r="A928" s="3" t="s">
        <v>2622</v>
      </c>
      <c r="B928" s="3" t="s">
        <v>1023</v>
      </c>
      <c r="C928" s="3" t="s">
        <v>8</v>
      </c>
      <c r="D928" s="3" t="s">
        <v>367</v>
      </c>
      <c r="E928" s="3" t="s">
        <v>2623</v>
      </c>
      <c r="F928" s="3" t="s">
        <v>87</v>
      </c>
      <c r="G928" s="3" t="s">
        <v>222</v>
      </c>
      <c r="H928" s="3" t="s">
        <v>19</v>
      </c>
      <c r="I928" s="3">
        <v>155</v>
      </c>
      <c r="J928" s="3" t="s">
        <v>179</v>
      </c>
      <c r="K928" s="3" t="s">
        <v>7</v>
      </c>
      <c r="L928" s="3" t="s">
        <v>103</v>
      </c>
      <c r="M928" s="4">
        <v>167900</v>
      </c>
      <c r="N928" s="5">
        <v>12.1</v>
      </c>
      <c r="O928" s="4">
        <f t="shared" si="28"/>
        <v>20315.900000000001</v>
      </c>
      <c r="P928" s="4">
        <f t="shared" si="29"/>
        <v>147584.1</v>
      </c>
      <c r="Q928" s="3" t="s">
        <v>40</v>
      </c>
      <c r="R928" s="3" t="s">
        <v>67</v>
      </c>
      <c r="S928" s="3" t="s">
        <v>67</v>
      </c>
      <c r="T928" s="3" t="s">
        <v>29</v>
      </c>
    </row>
    <row r="929" spans="1:20" ht="15" customHeight="1" x14ac:dyDescent="0.3">
      <c r="A929" s="3" t="s">
        <v>2624</v>
      </c>
      <c r="B929" s="3" t="s">
        <v>410</v>
      </c>
      <c r="C929" s="3" t="s">
        <v>17</v>
      </c>
      <c r="D929" s="3" t="s">
        <v>2625</v>
      </c>
      <c r="E929" s="3" t="s">
        <v>2626</v>
      </c>
      <c r="F929" s="3" t="s">
        <v>117</v>
      </c>
      <c r="G929" s="3" t="s">
        <v>64</v>
      </c>
      <c r="H929" s="3" t="s">
        <v>19</v>
      </c>
      <c r="I929" s="3">
        <v>200</v>
      </c>
      <c r="J929" s="3" t="s">
        <v>243</v>
      </c>
      <c r="K929" s="3" t="s">
        <v>7</v>
      </c>
      <c r="L929" s="3" t="s">
        <v>74</v>
      </c>
      <c r="M929" s="4">
        <v>199900</v>
      </c>
      <c r="N929" s="5">
        <v>11.3</v>
      </c>
      <c r="O929" s="4">
        <f t="shared" si="28"/>
        <v>22588.7</v>
      </c>
      <c r="P929" s="4">
        <f t="shared" si="29"/>
        <v>177311.3</v>
      </c>
      <c r="Q929" s="3" t="s">
        <v>36</v>
      </c>
      <c r="R929" s="3" t="s">
        <v>67</v>
      </c>
      <c r="S929" s="3" t="s">
        <v>67</v>
      </c>
      <c r="T929" s="3" t="s">
        <v>32</v>
      </c>
    </row>
    <row r="930" spans="1:20" ht="15" customHeight="1" x14ac:dyDescent="0.3">
      <c r="A930" s="3" t="s">
        <v>2627</v>
      </c>
      <c r="B930" s="3" t="s">
        <v>497</v>
      </c>
      <c r="C930" s="3" t="s">
        <v>17</v>
      </c>
      <c r="D930" s="3" t="s">
        <v>269</v>
      </c>
      <c r="E930" s="3" t="s">
        <v>2628</v>
      </c>
      <c r="F930" s="3" t="s">
        <v>134</v>
      </c>
      <c r="G930" s="3" t="s">
        <v>73</v>
      </c>
      <c r="H930" s="3" t="s">
        <v>21</v>
      </c>
      <c r="I930" s="3">
        <v>110</v>
      </c>
      <c r="J930" s="3" t="s">
        <v>89</v>
      </c>
      <c r="K930" s="3" t="s">
        <v>7</v>
      </c>
      <c r="L930" s="3" t="s">
        <v>74</v>
      </c>
      <c r="M930" s="4">
        <v>79900</v>
      </c>
      <c r="N930" s="5">
        <v>6.1</v>
      </c>
      <c r="O930" s="4">
        <f t="shared" si="28"/>
        <v>4873.8999999999996</v>
      </c>
      <c r="P930" s="4">
        <f t="shared" si="29"/>
        <v>75026.100000000006</v>
      </c>
      <c r="Q930" s="3" t="s">
        <v>25</v>
      </c>
      <c r="R930" s="3" t="s">
        <v>67</v>
      </c>
      <c r="S930" s="3" t="s">
        <v>67</v>
      </c>
      <c r="T930" s="3" t="s">
        <v>32</v>
      </c>
    </row>
    <row r="931" spans="1:20" ht="15" customHeight="1" x14ac:dyDescent="0.3">
      <c r="A931" s="3" t="s">
        <v>2629</v>
      </c>
      <c r="B931" s="3" t="s">
        <v>812</v>
      </c>
      <c r="C931" s="3" t="s">
        <v>8</v>
      </c>
      <c r="D931" s="3" t="s">
        <v>167</v>
      </c>
      <c r="E931" s="3" t="s">
        <v>2630</v>
      </c>
      <c r="F931" s="3" t="s">
        <v>145</v>
      </c>
      <c r="G931" s="3" t="s">
        <v>316</v>
      </c>
      <c r="H931" s="3" t="s">
        <v>19</v>
      </c>
      <c r="I931" s="3">
        <v>150</v>
      </c>
      <c r="J931" s="3" t="s">
        <v>89</v>
      </c>
      <c r="K931" s="3" t="s">
        <v>9</v>
      </c>
      <c r="L931" s="3" t="s">
        <v>74</v>
      </c>
      <c r="M931" s="4">
        <v>109900</v>
      </c>
      <c r="N931" s="5">
        <v>10.4</v>
      </c>
      <c r="O931" s="4">
        <f t="shared" si="28"/>
        <v>11429.6</v>
      </c>
      <c r="P931" s="4">
        <f t="shared" si="29"/>
        <v>98470.399999999994</v>
      </c>
      <c r="Q931" s="3" t="s">
        <v>31</v>
      </c>
      <c r="R931" s="3" t="s">
        <v>67</v>
      </c>
      <c r="S931" s="3" t="s">
        <v>68</v>
      </c>
      <c r="T931" s="3" t="s">
        <v>26</v>
      </c>
    </row>
    <row r="932" spans="1:20" ht="15" customHeight="1" x14ac:dyDescent="0.3">
      <c r="A932" s="3" t="s">
        <v>2631</v>
      </c>
      <c r="B932" s="3" t="s">
        <v>759</v>
      </c>
      <c r="C932" s="3" t="s">
        <v>8</v>
      </c>
      <c r="D932" s="3" t="s">
        <v>1001</v>
      </c>
      <c r="E932" s="3" t="s">
        <v>2632</v>
      </c>
      <c r="F932" s="3" t="s">
        <v>134</v>
      </c>
      <c r="G932" s="3" t="s">
        <v>73</v>
      </c>
      <c r="H932" s="3" t="s">
        <v>21</v>
      </c>
      <c r="I932" s="3">
        <v>110</v>
      </c>
      <c r="J932" s="3" t="s">
        <v>243</v>
      </c>
      <c r="K932" s="3" t="s">
        <v>5</v>
      </c>
      <c r="L932" s="3" t="s">
        <v>136</v>
      </c>
      <c r="M932" s="4">
        <v>79900</v>
      </c>
      <c r="N932" s="5">
        <v>13.4</v>
      </c>
      <c r="O932" s="4">
        <f t="shared" si="28"/>
        <v>10706.6</v>
      </c>
      <c r="P932" s="4">
        <f t="shared" si="29"/>
        <v>69193.399999999994</v>
      </c>
      <c r="Q932" s="3" t="s">
        <v>25</v>
      </c>
      <c r="R932" s="3" t="s">
        <v>67</v>
      </c>
      <c r="S932" s="3" t="s">
        <v>68</v>
      </c>
      <c r="T932" s="3" t="s">
        <v>26</v>
      </c>
    </row>
    <row r="933" spans="1:20" ht="15" customHeight="1" x14ac:dyDescent="0.3">
      <c r="A933" s="3" t="s">
        <v>2633</v>
      </c>
      <c r="B933" s="3" t="s">
        <v>92</v>
      </c>
      <c r="C933" s="3" t="s">
        <v>4</v>
      </c>
      <c r="D933" s="3" t="s">
        <v>2634</v>
      </c>
      <c r="E933" s="3" t="s">
        <v>2635</v>
      </c>
      <c r="F933" s="3" t="s">
        <v>79</v>
      </c>
      <c r="G933" s="3" t="s">
        <v>211</v>
      </c>
      <c r="H933" s="3" t="s">
        <v>20</v>
      </c>
      <c r="I933" s="3">
        <v>350</v>
      </c>
      <c r="J933" s="3" t="s">
        <v>89</v>
      </c>
      <c r="K933" s="3" t="s">
        <v>3</v>
      </c>
      <c r="L933" s="3" t="s">
        <v>206</v>
      </c>
      <c r="M933" s="4">
        <v>199900</v>
      </c>
      <c r="N933" s="5">
        <v>3.4</v>
      </c>
      <c r="O933" s="4">
        <f t="shared" si="28"/>
        <v>6796.6</v>
      </c>
      <c r="P933" s="4">
        <f t="shared" si="29"/>
        <v>193103.4</v>
      </c>
      <c r="Q933" s="3" t="s">
        <v>38</v>
      </c>
      <c r="R933" s="3" t="s">
        <v>67</v>
      </c>
      <c r="S933" s="3" t="s">
        <v>67</v>
      </c>
      <c r="T933" s="3" t="s">
        <v>26</v>
      </c>
    </row>
    <row r="934" spans="1:20" ht="15" customHeight="1" x14ac:dyDescent="0.3">
      <c r="A934" s="3" t="s">
        <v>2636</v>
      </c>
      <c r="B934" s="3" t="s">
        <v>176</v>
      </c>
      <c r="C934" s="3" t="s">
        <v>16</v>
      </c>
      <c r="D934" s="3" t="s">
        <v>2637</v>
      </c>
      <c r="E934" s="3" t="s">
        <v>2638</v>
      </c>
      <c r="F934" s="3" t="s">
        <v>155</v>
      </c>
      <c r="G934" s="3" t="s">
        <v>156</v>
      </c>
      <c r="H934" s="3" t="s">
        <v>21</v>
      </c>
      <c r="I934" s="3">
        <v>125</v>
      </c>
      <c r="J934" s="3" t="s">
        <v>243</v>
      </c>
      <c r="K934" s="3" t="s">
        <v>11</v>
      </c>
      <c r="L934" s="3" t="s">
        <v>66</v>
      </c>
      <c r="M934" s="4">
        <v>88900</v>
      </c>
      <c r="N934" s="5">
        <v>3.6</v>
      </c>
      <c r="O934" s="4">
        <f t="shared" si="28"/>
        <v>3200.4</v>
      </c>
      <c r="P934" s="4">
        <f t="shared" si="29"/>
        <v>85699.6</v>
      </c>
      <c r="Q934" s="3" t="s">
        <v>28</v>
      </c>
      <c r="R934" s="3" t="s">
        <v>68</v>
      </c>
      <c r="S934" s="3" t="s">
        <v>67</v>
      </c>
      <c r="T934" s="3" t="s">
        <v>26</v>
      </c>
    </row>
    <row r="935" spans="1:20" ht="15" customHeight="1" x14ac:dyDescent="0.3">
      <c r="A935" s="3" t="s">
        <v>2639</v>
      </c>
      <c r="B935" s="3" t="s">
        <v>300</v>
      </c>
      <c r="C935" s="3" t="s">
        <v>12</v>
      </c>
      <c r="D935" s="3" t="s">
        <v>2640</v>
      </c>
      <c r="E935" s="3" t="s">
        <v>2641</v>
      </c>
      <c r="F935" s="3" t="s">
        <v>87</v>
      </c>
      <c r="G935" s="3" t="s">
        <v>118</v>
      </c>
      <c r="H935" s="3" t="s">
        <v>20</v>
      </c>
      <c r="I935" s="3">
        <v>350</v>
      </c>
      <c r="J935" s="3" t="s">
        <v>65</v>
      </c>
      <c r="K935" s="3" t="s">
        <v>11</v>
      </c>
      <c r="L935" s="3" t="s">
        <v>82</v>
      </c>
      <c r="M935" s="4">
        <v>159900</v>
      </c>
      <c r="N935" s="5">
        <v>12.4</v>
      </c>
      <c r="O935" s="4">
        <f t="shared" si="28"/>
        <v>19827.599999999999</v>
      </c>
      <c r="P935" s="4">
        <f t="shared" si="29"/>
        <v>140072.4</v>
      </c>
      <c r="Q935" s="3" t="s">
        <v>25</v>
      </c>
      <c r="R935" s="3" t="s">
        <v>67</v>
      </c>
      <c r="S935" s="3" t="s">
        <v>68</v>
      </c>
      <c r="T935" s="3" t="s">
        <v>26</v>
      </c>
    </row>
    <row r="936" spans="1:20" ht="15" customHeight="1" x14ac:dyDescent="0.3">
      <c r="A936" s="3" t="s">
        <v>2642</v>
      </c>
      <c r="B936" s="3" t="s">
        <v>600</v>
      </c>
      <c r="C936" s="3" t="s">
        <v>6</v>
      </c>
      <c r="D936" s="3" t="s">
        <v>1890</v>
      </c>
      <c r="E936" s="3" t="s">
        <v>2643</v>
      </c>
      <c r="F936" s="3" t="s">
        <v>174</v>
      </c>
      <c r="G936" s="3" t="s">
        <v>189</v>
      </c>
      <c r="H936" s="3" t="s">
        <v>18</v>
      </c>
      <c r="I936" s="3">
        <v>100</v>
      </c>
      <c r="J936" s="3" t="s">
        <v>243</v>
      </c>
      <c r="K936" s="3" t="s">
        <v>11</v>
      </c>
      <c r="L936" s="3" t="s">
        <v>82</v>
      </c>
      <c r="M936" s="4">
        <v>72900</v>
      </c>
      <c r="N936" s="5">
        <v>14.8</v>
      </c>
      <c r="O936" s="4">
        <f t="shared" si="28"/>
        <v>10789.2</v>
      </c>
      <c r="P936" s="4">
        <f t="shared" si="29"/>
        <v>62110.8</v>
      </c>
      <c r="Q936" s="3" t="s">
        <v>36</v>
      </c>
      <c r="R936" s="3" t="s">
        <v>67</v>
      </c>
      <c r="S936" s="3" t="s">
        <v>68</v>
      </c>
      <c r="T936" s="3" t="s">
        <v>26</v>
      </c>
    </row>
    <row r="937" spans="1:20" ht="15" customHeight="1" x14ac:dyDescent="0.3">
      <c r="A937" s="3" t="s">
        <v>2644</v>
      </c>
      <c r="B937" s="3" t="s">
        <v>579</v>
      </c>
      <c r="C937" s="3" t="s">
        <v>0</v>
      </c>
      <c r="D937" s="3" t="s">
        <v>2189</v>
      </c>
      <c r="E937" s="3" t="s">
        <v>2645</v>
      </c>
      <c r="F937" s="3" t="s">
        <v>87</v>
      </c>
      <c r="G937" s="3" t="s">
        <v>169</v>
      </c>
      <c r="H937" s="3" t="s">
        <v>18</v>
      </c>
      <c r="I937" s="3">
        <v>162</v>
      </c>
      <c r="J937" s="3" t="s">
        <v>65</v>
      </c>
      <c r="K937" s="3" t="s">
        <v>5</v>
      </c>
      <c r="L937" s="3" t="s">
        <v>82</v>
      </c>
      <c r="M937" s="4">
        <v>124900</v>
      </c>
      <c r="N937" s="5">
        <v>7.1</v>
      </c>
      <c r="O937" s="4">
        <f t="shared" si="28"/>
        <v>8867.9</v>
      </c>
      <c r="P937" s="4">
        <f t="shared" si="29"/>
        <v>116032.1</v>
      </c>
      <c r="Q937" s="3" t="s">
        <v>25</v>
      </c>
      <c r="R937" s="3" t="s">
        <v>68</v>
      </c>
      <c r="S937" s="3" t="s">
        <v>68</v>
      </c>
      <c r="T937" s="3" t="s">
        <v>29</v>
      </c>
    </row>
    <row r="938" spans="1:20" ht="15" customHeight="1" x14ac:dyDescent="0.3">
      <c r="A938" s="3" t="s">
        <v>2646</v>
      </c>
      <c r="B938" s="3" t="s">
        <v>414</v>
      </c>
      <c r="C938" s="3" t="s">
        <v>15</v>
      </c>
      <c r="D938" s="3" t="s">
        <v>2647</v>
      </c>
      <c r="E938" s="3" t="s">
        <v>2648</v>
      </c>
      <c r="F938" s="3" t="s">
        <v>112</v>
      </c>
      <c r="G938" s="3" t="s">
        <v>316</v>
      </c>
      <c r="H938" s="3" t="s">
        <v>19</v>
      </c>
      <c r="I938" s="3">
        <v>150</v>
      </c>
      <c r="J938" s="3" t="s">
        <v>119</v>
      </c>
      <c r="K938" s="3" t="s">
        <v>1</v>
      </c>
      <c r="L938" s="3" t="s">
        <v>66</v>
      </c>
      <c r="M938" s="4">
        <v>109900</v>
      </c>
      <c r="N938" s="5">
        <v>11.6</v>
      </c>
      <c r="O938" s="4">
        <f t="shared" si="28"/>
        <v>12748.4</v>
      </c>
      <c r="P938" s="4">
        <f t="shared" si="29"/>
        <v>97151.6</v>
      </c>
      <c r="Q938" s="3" t="s">
        <v>40</v>
      </c>
      <c r="R938" s="3" t="s">
        <v>68</v>
      </c>
      <c r="S938" s="3" t="s">
        <v>68</v>
      </c>
      <c r="T938" s="3" t="s">
        <v>26</v>
      </c>
    </row>
    <row r="939" spans="1:20" ht="15" customHeight="1" x14ac:dyDescent="0.3">
      <c r="A939" s="3" t="s">
        <v>2649</v>
      </c>
      <c r="B939" s="3" t="s">
        <v>482</v>
      </c>
      <c r="C939" s="3" t="s">
        <v>6</v>
      </c>
      <c r="D939" s="3" t="s">
        <v>739</v>
      </c>
      <c r="E939" s="3" t="s">
        <v>2650</v>
      </c>
      <c r="F939" s="3" t="s">
        <v>87</v>
      </c>
      <c r="G939" s="3" t="s">
        <v>316</v>
      </c>
      <c r="H939" s="3" t="s">
        <v>19</v>
      </c>
      <c r="I939" s="3">
        <v>150</v>
      </c>
      <c r="J939" s="3" t="s">
        <v>81</v>
      </c>
      <c r="K939" s="3" t="s">
        <v>3</v>
      </c>
      <c r="L939" s="3" t="s">
        <v>90</v>
      </c>
      <c r="M939" s="4">
        <v>109900</v>
      </c>
      <c r="N939" s="5">
        <v>5.0999999999999996</v>
      </c>
      <c r="O939" s="4">
        <f t="shared" si="28"/>
        <v>5604.9</v>
      </c>
      <c r="P939" s="4">
        <f t="shared" si="29"/>
        <v>104295.1</v>
      </c>
      <c r="Q939" s="3" t="s">
        <v>31</v>
      </c>
      <c r="R939" s="3" t="s">
        <v>67</v>
      </c>
      <c r="S939" s="3" t="s">
        <v>67</v>
      </c>
      <c r="T939" s="3" t="s">
        <v>26</v>
      </c>
    </row>
    <row r="940" spans="1:20" ht="15" customHeight="1" x14ac:dyDescent="0.3">
      <c r="A940" s="3" t="s">
        <v>2651</v>
      </c>
      <c r="B940" s="3" t="s">
        <v>806</v>
      </c>
      <c r="C940" s="3" t="s">
        <v>2</v>
      </c>
      <c r="D940" s="3" t="s">
        <v>2652</v>
      </c>
      <c r="E940" s="3" t="s">
        <v>2653</v>
      </c>
      <c r="F940" s="3" t="s">
        <v>79</v>
      </c>
      <c r="G940" s="3" t="s">
        <v>189</v>
      </c>
      <c r="H940" s="3" t="s">
        <v>18</v>
      </c>
      <c r="I940" s="3">
        <v>100</v>
      </c>
      <c r="J940" s="3" t="s">
        <v>243</v>
      </c>
      <c r="K940" s="3" t="s">
        <v>5</v>
      </c>
      <c r="L940" s="3" t="s">
        <v>97</v>
      </c>
      <c r="M940" s="4">
        <v>72900</v>
      </c>
      <c r="N940" s="5">
        <v>8.5</v>
      </c>
      <c r="O940" s="4">
        <f t="shared" si="28"/>
        <v>6196.5</v>
      </c>
      <c r="P940" s="4">
        <f t="shared" si="29"/>
        <v>66703.5</v>
      </c>
      <c r="Q940" s="3" t="s">
        <v>31</v>
      </c>
      <c r="R940" s="3" t="s">
        <v>67</v>
      </c>
      <c r="S940" s="3" t="s">
        <v>68</v>
      </c>
      <c r="T940" s="3" t="s">
        <v>26</v>
      </c>
    </row>
    <row r="941" spans="1:20" ht="15" customHeight="1" x14ac:dyDescent="0.3">
      <c r="A941" s="3" t="s">
        <v>2654</v>
      </c>
      <c r="B941" s="3" t="s">
        <v>249</v>
      </c>
      <c r="C941" s="3" t="s">
        <v>13</v>
      </c>
      <c r="D941" s="3" t="s">
        <v>1470</v>
      </c>
      <c r="E941" s="3" t="s">
        <v>2655</v>
      </c>
      <c r="F941" s="3" t="s">
        <v>117</v>
      </c>
      <c r="G941" s="3" t="s">
        <v>256</v>
      </c>
      <c r="H941" s="3" t="s">
        <v>21</v>
      </c>
      <c r="I941" s="3">
        <v>110</v>
      </c>
      <c r="J941" s="3" t="s">
        <v>129</v>
      </c>
      <c r="K941" s="3" t="s">
        <v>11</v>
      </c>
      <c r="L941" s="3" t="s">
        <v>103</v>
      </c>
      <c r="M941" s="4">
        <v>80900</v>
      </c>
      <c r="N941" s="5">
        <v>13.2</v>
      </c>
      <c r="O941" s="4">
        <f t="shared" si="28"/>
        <v>10678.8</v>
      </c>
      <c r="P941" s="4">
        <f t="shared" si="29"/>
        <v>70221.2</v>
      </c>
      <c r="Q941" s="3" t="s">
        <v>25</v>
      </c>
      <c r="R941" s="3" t="s">
        <v>67</v>
      </c>
      <c r="S941" s="3" t="s">
        <v>67</v>
      </c>
      <c r="T941" s="3" t="s">
        <v>26</v>
      </c>
    </row>
    <row r="942" spans="1:20" ht="15" customHeight="1" x14ac:dyDescent="0.3">
      <c r="A942" s="3" t="s">
        <v>2656</v>
      </c>
      <c r="B942" s="3" t="s">
        <v>924</v>
      </c>
      <c r="C942" s="3" t="s">
        <v>14</v>
      </c>
      <c r="D942" s="3" t="s">
        <v>2657</v>
      </c>
      <c r="E942" s="3" t="s">
        <v>2658</v>
      </c>
      <c r="F942" s="3" t="s">
        <v>155</v>
      </c>
      <c r="G942" s="3" t="s">
        <v>201</v>
      </c>
      <c r="H942" s="3" t="s">
        <v>19</v>
      </c>
      <c r="I942" s="3">
        <v>160</v>
      </c>
      <c r="J942" s="3" t="s">
        <v>119</v>
      </c>
      <c r="K942" s="3" t="s">
        <v>3</v>
      </c>
      <c r="L942" s="3" t="s">
        <v>206</v>
      </c>
      <c r="M942" s="4">
        <v>129900</v>
      </c>
      <c r="N942" s="5">
        <v>5</v>
      </c>
      <c r="O942" s="4">
        <f t="shared" si="28"/>
        <v>6495</v>
      </c>
      <c r="P942" s="4">
        <f t="shared" si="29"/>
        <v>123405</v>
      </c>
      <c r="Q942" s="3" t="s">
        <v>28</v>
      </c>
      <c r="R942" s="3" t="s">
        <v>67</v>
      </c>
      <c r="S942" s="3" t="s">
        <v>68</v>
      </c>
      <c r="T942" s="3" t="s">
        <v>32</v>
      </c>
    </row>
    <row r="943" spans="1:20" ht="15" customHeight="1" x14ac:dyDescent="0.3">
      <c r="A943" s="3" t="s">
        <v>2659</v>
      </c>
      <c r="B943" s="3" t="s">
        <v>911</v>
      </c>
      <c r="C943" s="3" t="s">
        <v>17</v>
      </c>
      <c r="D943" s="3" t="s">
        <v>331</v>
      </c>
      <c r="E943" s="3" t="s">
        <v>2660</v>
      </c>
      <c r="F943" s="3" t="s">
        <v>112</v>
      </c>
      <c r="G943" s="3" t="s">
        <v>146</v>
      </c>
      <c r="H943" s="3" t="s">
        <v>18</v>
      </c>
      <c r="I943" s="3">
        <v>110</v>
      </c>
      <c r="J943" s="3" t="s">
        <v>164</v>
      </c>
      <c r="K943" s="3" t="s">
        <v>1</v>
      </c>
      <c r="L943" s="3" t="s">
        <v>82</v>
      </c>
      <c r="M943" s="4">
        <v>74900</v>
      </c>
      <c r="N943" s="5">
        <v>4.3</v>
      </c>
      <c r="O943" s="4">
        <f t="shared" si="28"/>
        <v>3220.7</v>
      </c>
      <c r="P943" s="4">
        <f t="shared" si="29"/>
        <v>71679.3</v>
      </c>
      <c r="Q943" s="3" t="s">
        <v>34</v>
      </c>
      <c r="R943" s="3" t="s">
        <v>67</v>
      </c>
      <c r="S943" s="3" t="s">
        <v>68</v>
      </c>
      <c r="T943" s="3" t="s">
        <v>26</v>
      </c>
    </row>
    <row r="944" spans="1:20" ht="15" customHeight="1" x14ac:dyDescent="0.3">
      <c r="A944" s="3" t="s">
        <v>2661</v>
      </c>
      <c r="B944" s="3" t="s">
        <v>847</v>
      </c>
      <c r="C944" s="3" t="s">
        <v>13</v>
      </c>
      <c r="D944" s="3" t="s">
        <v>785</v>
      </c>
      <c r="E944" s="3" t="s">
        <v>2662</v>
      </c>
      <c r="F944" s="3" t="s">
        <v>124</v>
      </c>
      <c r="G944" s="3" t="s">
        <v>118</v>
      </c>
      <c r="H944" s="3" t="s">
        <v>20</v>
      </c>
      <c r="I944" s="3">
        <v>350</v>
      </c>
      <c r="J944" s="3" t="s">
        <v>243</v>
      </c>
      <c r="K944" s="3" t="s">
        <v>3</v>
      </c>
      <c r="L944" s="3" t="s">
        <v>136</v>
      </c>
      <c r="M944" s="4">
        <v>159900</v>
      </c>
      <c r="N944" s="5">
        <v>7.6</v>
      </c>
      <c r="O944" s="4">
        <f t="shared" si="28"/>
        <v>12152.4</v>
      </c>
      <c r="P944" s="4">
        <f t="shared" si="29"/>
        <v>147747.6</v>
      </c>
      <c r="Q944" s="3" t="s">
        <v>25</v>
      </c>
      <c r="R944" s="3" t="s">
        <v>67</v>
      </c>
      <c r="S944" s="3" t="s">
        <v>67</v>
      </c>
      <c r="T944" s="3" t="s">
        <v>26</v>
      </c>
    </row>
    <row r="945" spans="1:20" ht="15" customHeight="1" x14ac:dyDescent="0.3">
      <c r="A945" s="3" t="s">
        <v>2663</v>
      </c>
      <c r="B945" s="3" t="s">
        <v>564</v>
      </c>
      <c r="C945" s="3" t="s">
        <v>13</v>
      </c>
      <c r="D945" s="3" t="s">
        <v>2664</v>
      </c>
      <c r="E945" s="3" t="s">
        <v>2665</v>
      </c>
      <c r="F945" s="3" t="s">
        <v>134</v>
      </c>
      <c r="G945" s="3" t="s">
        <v>118</v>
      </c>
      <c r="H945" s="3" t="s">
        <v>20</v>
      </c>
      <c r="I945" s="3">
        <v>350</v>
      </c>
      <c r="J945" s="3" t="s">
        <v>89</v>
      </c>
      <c r="K945" s="3" t="s">
        <v>9</v>
      </c>
      <c r="L945" s="3" t="s">
        <v>82</v>
      </c>
      <c r="M945" s="4">
        <v>159900</v>
      </c>
      <c r="N945" s="5">
        <v>8.9</v>
      </c>
      <c r="O945" s="4">
        <f t="shared" si="28"/>
        <v>14231.1</v>
      </c>
      <c r="P945" s="4">
        <f t="shared" si="29"/>
        <v>145668.9</v>
      </c>
      <c r="Q945" s="3" t="s">
        <v>34</v>
      </c>
      <c r="R945" s="3" t="s">
        <v>67</v>
      </c>
      <c r="S945" s="3" t="s">
        <v>68</v>
      </c>
      <c r="T945" s="3" t="s">
        <v>26</v>
      </c>
    </row>
    <row r="946" spans="1:20" ht="15" customHeight="1" x14ac:dyDescent="0.3">
      <c r="A946" s="3" t="s">
        <v>2666</v>
      </c>
      <c r="B946" s="3" t="s">
        <v>713</v>
      </c>
      <c r="C946" s="3" t="s">
        <v>15</v>
      </c>
      <c r="D946" s="3" t="s">
        <v>1150</v>
      </c>
      <c r="E946" s="3" t="s">
        <v>2667</v>
      </c>
      <c r="F946" s="3" t="s">
        <v>79</v>
      </c>
      <c r="G946" s="3" t="s">
        <v>211</v>
      </c>
      <c r="H946" s="3" t="s">
        <v>20</v>
      </c>
      <c r="I946" s="3">
        <v>350</v>
      </c>
      <c r="J946" s="3" t="s">
        <v>96</v>
      </c>
      <c r="K946" s="3" t="s">
        <v>7</v>
      </c>
      <c r="L946" s="3" t="s">
        <v>136</v>
      </c>
      <c r="M946" s="4">
        <v>199900</v>
      </c>
      <c r="N946" s="5">
        <v>9.4</v>
      </c>
      <c r="O946" s="4">
        <f t="shared" si="28"/>
        <v>18790.599999999999</v>
      </c>
      <c r="P946" s="4">
        <f t="shared" si="29"/>
        <v>181109.4</v>
      </c>
      <c r="Q946" s="3" t="s">
        <v>28</v>
      </c>
      <c r="R946" s="3" t="s">
        <v>67</v>
      </c>
      <c r="S946" s="3" t="s">
        <v>68</v>
      </c>
      <c r="T946" s="3" t="s">
        <v>26</v>
      </c>
    </row>
    <row r="947" spans="1:20" ht="15" customHeight="1" x14ac:dyDescent="0.3">
      <c r="A947" s="3" t="s">
        <v>2668</v>
      </c>
      <c r="B947" s="3" t="s">
        <v>366</v>
      </c>
      <c r="C947" s="3" t="s">
        <v>4</v>
      </c>
      <c r="D947" s="3" t="s">
        <v>1776</v>
      </c>
      <c r="E947" s="3" t="s">
        <v>2669</v>
      </c>
      <c r="F947" s="3" t="s">
        <v>117</v>
      </c>
      <c r="G947" s="3" t="s">
        <v>316</v>
      </c>
      <c r="H947" s="3" t="s">
        <v>19</v>
      </c>
      <c r="I947" s="3">
        <v>150</v>
      </c>
      <c r="J947" s="3" t="s">
        <v>102</v>
      </c>
      <c r="K947" s="3" t="s">
        <v>1</v>
      </c>
      <c r="L947" s="3" t="s">
        <v>82</v>
      </c>
      <c r="M947" s="4">
        <v>109900</v>
      </c>
      <c r="N947" s="5">
        <v>10.199999999999999</v>
      </c>
      <c r="O947" s="4">
        <f t="shared" si="28"/>
        <v>11209.8</v>
      </c>
      <c r="P947" s="4">
        <f t="shared" si="29"/>
        <v>98690.2</v>
      </c>
      <c r="Q947" s="3" t="s">
        <v>31</v>
      </c>
      <c r="R947" s="3" t="s">
        <v>67</v>
      </c>
      <c r="S947" s="3" t="s">
        <v>68</v>
      </c>
      <c r="T947" s="3" t="s">
        <v>32</v>
      </c>
    </row>
    <row r="948" spans="1:20" ht="15" customHeight="1" x14ac:dyDescent="0.3">
      <c r="A948" s="3" t="s">
        <v>2670</v>
      </c>
      <c r="B948" s="3" t="s">
        <v>84</v>
      </c>
      <c r="C948" s="3" t="s">
        <v>17</v>
      </c>
      <c r="D948" s="3" t="s">
        <v>684</v>
      </c>
      <c r="E948" s="3" t="s">
        <v>2671</v>
      </c>
      <c r="F948" s="3" t="s">
        <v>124</v>
      </c>
      <c r="G948" s="3" t="s">
        <v>73</v>
      </c>
      <c r="H948" s="3" t="s">
        <v>21</v>
      </c>
      <c r="I948" s="3">
        <v>110</v>
      </c>
      <c r="J948" s="3" t="s">
        <v>119</v>
      </c>
      <c r="K948" s="3" t="s">
        <v>9</v>
      </c>
      <c r="L948" s="3" t="s">
        <v>90</v>
      </c>
      <c r="M948" s="4">
        <v>79900</v>
      </c>
      <c r="N948" s="5">
        <v>12.1</v>
      </c>
      <c r="O948" s="4">
        <f t="shared" si="28"/>
        <v>9667.9</v>
      </c>
      <c r="P948" s="4">
        <f t="shared" si="29"/>
        <v>70232.100000000006</v>
      </c>
      <c r="Q948" s="3" t="s">
        <v>31</v>
      </c>
      <c r="R948" s="3" t="s">
        <v>67</v>
      </c>
      <c r="S948" s="3" t="s">
        <v>68</v>
      </c>
      <c r="T948" s="3" t="s">
        <v>26</v>
      </c>
    </row>
    <row r="949" spans="1:20" ht="15" customHeight="1" x14ac:dyDescent="0.3">
      <c r="A949" s="3" t="s">
        <v>2672</v>
      </c>
      <c r="B949" s="3" t="s">
        <v>1486</v>
      </c>
      <c r="C949" s="3" t="s">
        <v>16</v>
      </c>
      <c r="D949" s="3" t="s">
        <v>2673</v>
      </c>
      <c r="E949" s="3" t="s">
        <v>2674</v>
      </c>
      <c r="F949" s="3" t="s">
        <v>155</v>
      </c>
      <c r="G949" s="3" t="s">
        <v>189</v>
      </c>
      <c r="H949" s="3" t="s">
        <v>18</v>
      </c>
      <c r="I949" s="3">
        <v>100</v>
      </c>
      <c r="J949" s="3" t="s">
        <v>129</v>
      </c>
      <c r="K949" s="3" t="s">
        <v>1</v>
      </c>
      <c r="L949" s="3" t="s">
        <v>66</v>
      </c>
      <c r="M949" s="4">
        <v>72900</v>
      </c>
      <c r="N949" s="5">
        <v>8.4</v>
      </c>
      <c r="O949" s="4">
        <f t="shared" si="28"/>
        <v>6123.6</v>
      </c>
      <c r="P949" s="4">
        <f t="shared" si="29"/>
        <v>66776.399999999994</v>
      </c>
      <c r="Q949" s="3" t="s">
        <v>31</v>
      </c>
      <c r="R949" s="3" t="s">
        <v>68</v>
      </c>
      <c r="S949" s="3" t="s">
        <v>67</v>
      </c>
      <c r="T949" s="3" t="s">
        <v>26</v>
      </c>
    </row>
    <row r="950" spans="1:20" ht="15" customHeight="1" x14ac:dyDescent="0.3">
      <c r="A950" s="3" t="s">
        <v>2675</v>
      </c>
      <c r="B950" s="3" t="s">
        <v>621</v>
      </c>
      <c r="C950" s="3" t="s">
        <v>13</v>
      </c>
      <c r="D950" s="3" t="s">
        <v>1327</v>
      </c>
      <c r="E950" s="3" t="s">
        <v>2676</v>
      </c>
      <c r="F950" s="3" t="s">
        <v>124</v>
      </c>
      <c r="G950" s="3" t="s">
        <v>80</v>
      </c>
      <c r="H950" s="3" t="s">
        <v>22</v>
      </c>
      <c r="I950" s="3">
        <v>0</v>
      </c>
      <c r="J950" s="3" t="s">
        <v>81</v>
      </c>
      <c r="K950" s="3" t="s">
        <v>11</v>
      </c>
      <c r="L950" s="3" t="s">
        <v>136</v>
      </c>
      <c r="M950" s="4">
        <v>145000</v>
      </c>
      <c r="N950" s="5">
        <v>10.4</v>
      </c>
      <c r="O950" s="4">
        <f t="shared" si="28"/>
        <v>15080</v>
      </c>
      <c r="P950" s="4">
        <f t="shared" si="29"/>
        <v>129920</v>
      </c>
      <c r="Q950" s="3" t="s">
        <v>25</v>
      </c>
      <c r="R950" s="3" t="s">
        <v>67</v>
      </c>
      <c r="S950" s="3" t="s">
        <v>67</v>
      </c>
      <c r="T950" s="3" t="s">
        <v>29</v>
      </c>
    </row>
    <row r="951" spans="1:20" ht="15" customHeight="1" x14ac:dyDescent="0.3">
      <c r="A951" s="3" t="s">
        <v>2677</v>
      </c>
      <c r="B951" s="3" t="s">
        <v>1010</v>
      </c>
      <c r="C951" s="3" t="s">
        <v>6</v>
      </c>
      <c r="D951" s="3" t="s">
        <v>2678</v>
      </c>
      <c r="E951" s="3" t="s">
        <v>2679</v>
      </c>
      <c r="F951" s="3" t="s">
        <v>145</v>
      </c>
      <c r="G951" s="3" t="s">
        <v>64</v>
      </c>
      <c r="H951" s="3" t="s">
        <v>19</v>
      </c>
      <c r="I951" s="3">
        <v>200</v>
      </c>
      <c r="J951" s="3" t="s">
        <v>65</v>
      </c>
      <c r="K951" s="3" t="s">
        <v>9</v>
      </c>
      <c r="L951" s="3" t="s">
        <v>90</v>
      </c>
      <c r="M951" s="4">
        <v>199900</v>
      </c>
      <c r="N951" s="5">
        <v>13.8</v>
      </c>
      <c r="O951" s="4">
        <f t="shared" si="28"/>
        <v>27586.2</v>
      </c>
      <c r="P951" s="4">
        <f t="shared" si="29"/>
        <v>172313.8</v>
      </c>
      <c r="Q951" s="3" t="s">
        <v>31</v>
      </c>
      <c r="R951" s="3" t="s">
        <v>67</v>
      </c>
      <c r="S951" s="3" t="s">
        <v>68</v>
      </c>
      <c r="T951" s="3" t="s">
        <v>26</v>
      </c>
    </row>
    <row r="952" spans="1:20" ht="15" customHeight="1" x14ac:dyDescent="0.3">
      <c r="A952" s="3" t="s">
        <v>2680</v>
      </c>
      <c r="B952" s="3" t="s">
        <v>293</v>
      </c>
      <c r="C952" s="3" t="s">
        <v>16</v>
      </c>
      <c r="D952" s="3" t="s">
        <v>1436</v>
      </c>
      <c r="E952" s="3" t="s">
        <v>2681</v>
      </c>
      <c r="F952" s="3" t="s">
        <v>124</v>
      </c>
      <c r="G952" s="3" t="s">
        <v>146</v>
      </c>
      <c r="H952" s="3" t="s">
        <v>18</v>
      </c>
      <c r="I952" s="3">
        <v>110</v>
      </c>
      <c r="J952" s="3" t="s">
        <v>65</v>
      </c>
      <c r="K952" s="3" t="s">
        <v>1</v>
      </c>
      <c r="L952" s="3" t="s">
        <v>66</v>
      </c>
      <c r="M952" s="4">
        <v>74900</v>
      </c>
      <c r="N952" s="5">
        <v>12</v>
      </c>
      <c r="O952" s="4">
        <f t="shared" si="28"/>
        <v>8988</v>
      </c>
      <c r="P952" s="4">
        <f t="shared" si="29"/>
        <v>65912</v>
      </c>
      <c r="Q952" s="3" t="s">
        <v>31</v>
      </c>
      <c r="R952" s="3" t="s">
        <v>68</v>
      </c>
      <c r="S952" s="3" t="s">
        <v>68</v>
      </c>
      <c r="T952" s="3" t="s">
        <v>29</v>
      </c>
    </row>
    <row r="953" spans="1:20" ht="15" customHeight="1" x14ac:dyDescent="0.3">
      <c r="A953" s="3" t="s">
        <v>2682</v>
      </c>
      <c r="B953" s="3" t="s">
        <v>362</v>
      </c>
      <c r="C953" s="3" t="s">
        <v>2</v>
      </c>
      <c r="D953" s="3" t="s">
        <v>353</v>
      </c>
      <c r="E953" s="3" t="s">
        <v>2683</v>
      </c>
      <c r="F953" s="3" t="s">
        <v>134</v>
      </c>
      <c r="G953" s="3" t="s">
        <v>211</v>
      </c>
      <c r="H953" s="3" t="s">
        <v>20</v>
      </c>
      <c r="I953" s="3">
        <v>350</v>
      </c>
      <c r="J953" s="3" t="s">
        <v>243</v>
      </c>
      <c r="K953" s="3" t="s">
        <v>9</v>
      </c>
      <c r="L953" s="3" t="s">
        <v>74</v>
      </c>
      <c r="M953" s="4">
        <v>199900</v>
      </c>
      <c r="N953" s="5">
        <v>10.4</v>
      </c>
      <c r="O953" s="4">
        <f t="shared" si="28"/>
        <v>20789.599999999999</v>
      </c>
      <c r="P953" s="4">
        <f t="shared" si="29"/>
        <v>179110.39999999999</v>
      </c>
      <c r="Q953" s="3" t="s">
        <v>34</v>
      </c>
      <c r="R953" s="3" t="s">
        <v>67</v>
      </c>
      <c r="S953" s="3" t="s">
        <v>67</v>
      </c>
      <c r="T953" s="3" t="s">
        <v>26</v>
      </c>
    </row>
    <row r="954" spans="1:20" ht="15" customHeight="1" x14ac:dyDescent="0.3">
      <c r="A954" s="3" t="s">
        <v>2684</v>
      </c>
      <c r="B954" s="3" t="s">
        <v>138</v>
      </c>
      <c r="C954" s="3" t="s">
        <v>10</v>
      </c>
      <c r="D954" s="3" t="s">
        <v>100</v>
      </c>
      <c r="E954" s="3" t="s">
        <v>2685</v>
      </c>
      <c r="F954" s="3" t="s">
        <v>87</v>
      </c>
      <c r="G954" s="3" t="s">
        <v>118</v>
      </c>
      <c r="H954" s="3" t="s">
        <v>20</v>
      </c>
      <c r="I954" s="3">
        <v>350</v>
      </c>
      <c r="J954" s="3" t="s">
        <v>102</v>
      </c>
      <c r="K954" s="3" t="s">
        <v>3</v>
      </c>
      <c r="L954" s="3" t="s">
        <v>97</v>
      </c>
      <c r="M954" s="4">
        <v>159900</v>
      </c>
      <c r="N954" s="5">
        <v>5.5</v>
      </c>
      <c r="O954" s="4">
        <f t="shared" si="28"/>
        <v>8794.5</v>
      </c>
      <c r="P954" s="4">
        <f t="shared" si="29"/>
        <v>151105.5</v>
      </c>
      <c r="Q954" s="3" t="s">
        <v>31</v>
      </c>
      <c r="R954" s="3" t="s">
        <v>67</v>
      </c>
      <c r="S954" s="3" t="s">
        <v>68</v>
      </c>
      <c r="T954" s="3" t="s">
        <v>26</v>
      </c>
    </row>
    <row r="955" spans="1:20" ht="15" customHeight="1" x14ac:dyDescent="0.3">
      <c r="A955" s="3" t="s">
        <v>2686</v>
      </c>
      <c r="B955" s="3" t="s">
        <v>330</v>
      </c>
      <c r="C955" s="3" t="s">
        <v>4</v>
      </c>
      <c r="D955" s="3" t="s">
        <v>319</v>
      </c>
      <c r="E955" s="3" t="s">
        <v>2687</v>
      </c>
      <c r="F955" s="3" t="s">
        <v>145</v>
      </c>
      <c r="G955" s="3" t="s">
        <v>95</v>
      </c>
      <c r="H955" s="3" t="s">
        <v>22</v>
      </c>
      <c r="I955" s="3">
        <v>0</v>
      </c>
      <c r="J955" s="3" t="s">
        <v>243</v>
      </c>
      <c r="K955" s="3" t="s">
        <v>3</v>
      </c>
      <c r="L955" s="3" t="s">
        <v>90</v>
      </c>
      <c r="M955" s="4">
        <v>139999</v>
      </c>
      <c r="N955" s="5">
        <v>3.5</v>
      </c>
      <c r="O955" s="4">
        <f t="shared" si="28"/>
        <v>4899.9650000000001</v>
      </c>
      <c r="P955" s="4">
        <f t="shared" si="29"/>
        <v>135099.035</v>
      </c>
      <c r="Q955" s="3" t="s">
        <v>25</v>
      </c>
      <c r="R955" s="3" t="s">
        <v>67</v>
      </c>
      <c r="S955" s="3" t="s">
        <v>68</v>
      </c>
      <c r="T955" s="3" t="s">
        <v>26</v>
      </c>
    </row>
    <row r="956" spans="1:20" ht="15" customHeight="1" x14ac:dyDescent="0.3">
      <c r="A956" s="3" t="s">
        <v>2688</v>
      </c>
      <c r="B956" s="3" t="s">
        <v>847</v>
      </c>
      <c r="C956" s="3" t="s">
        <v>13</v>
      </c>
      <c r="D956" s="3" t="s">
        <v>2678</v>
      </c>
      <c r="E956" s="3" t="s">
        <v>2689</v>
      </c>
      <c r="F956" s="3" t="s">
        <v>124</v>
      </c>
      <c r="G956" s="3" t="s">
        <v>73</v>
      </c>
      <c r="H956" s="3" t="s">
        <v>21</v>
      </c>
      <c r="I956" s="3">
        <v>110</v>
      </c>
      <c r="J956" s="3" t="s">
        <v>119</v>
      </c>
      <c r="K956" s="3" t="s">
        <v>3</v>
      </c>
      <c r="L956" s="3" t="s">
        <v>82</v>
      </c>
      <c r="M956" s="4">
        <v>79900</v>
      </c>
      <c r="N956" s="5">
        <v>6.9</v>
      </c>
      <c r="O956" s="4">
        <f t="shared" si="28"/>
        <v>5513.1</v>
      </c>
      <c r="P956" s="4">
        <f t="shared" si="29"/>
        <v>74386.899999999994</v>
      </c>
      <c r="Q956" s="3" t="s">
        <v>31</v>
      </c>
      <c r="R956" s="3" t="s">
        <v>67</v>
      </c>
      <c r="S956" s="3" t="s">
        <v>67</v>
      </c>
      <c r="T956" s="3" t="s">
        <v>26</v>
      </c>
    </row>
    <row r="957" spans="1:20" ht="15" customHeight="1" x14ac:dyDescent="0.3">
      <c r="A957" s="3" t="s">
        <v>2690</v>
      </c>
      <c r="B957" s="3" t="s">
        <v>208</v>
      </c>
      <c r="C957" s="3" t="s">
        <v>2</v>
      </c>
      <c r="D957" s="3" t="s">
        <v>2691</v>
      </c>
      <c r="E957" s="3" t="s">
        <v>2692</v>
      </c>
      <c r="F957" s="3" t="s">
        <v>112</v>
      </c>
      <c r="G957" s="3" t="s">
        <v>156</v>
      </c>
      <c r="H957" s="3" t="s">
        <v>21</v>
      </c>
      <c r="I957" s="3">
        <v>125</v>
      </c>
      <c r="J957" s="3" t="s">
        <v>179</v>
      </c>
      <c r="K957" s="3" t="s">
        <v>3</v>
      </c>
      <c r="L957" s="3" t="s">
        <v>74</v>
      </c>
      <c r="M957" s="4">
        <v>88900</v>
      </c>
      <c r="N957" s="5">
        <v>9.1</v>
      </c>
      <c r="O957" s="4">
        <f t="shared" si="28"/>
        <v>8089.9</v>
      </c>
      <c r="P957" s="4">
        <f t="shared" si="29"/>
        <v>80810.100000000006</v>
      </c>
      <c r="Q957" s="3" t="s">
        <v>25</v>
      </c>
      <c r="R957" s="3" t="s">
        <v>67</v>
      </c>
      <c r="S957" s="3" t="s">
        <v>68</v>
      </c>
      <c r="T957" s="3" t="s">
        <v>29</v>
      </c>
    </row>
    <row r="958" spans="1:20" ht="15" customHeight="1" x14ac:dyDescent="0.3">
      <c r="A958" s="3" t="s">
        <v>2693</v>
      </c>
      <c r="B958" s="3" t="s">
        <v>99</v>
      </c>
      <c r="C958" s="3" t="s">
        <v>13</v>
      </c>
      <c r="D958" s="3" t="s">
        <v>2694</v>
      </c>
      <c r="E958" s="3" t="s">
        <v>2695</v>
      </c>
      <c r="F958" s="3" t="s">
        <v>63</v>
      </c>
      <c r="G958" s="3" t="s">
        <v>88</v>
      </c>
      <c r="H958" s="3" t="s">
        <v>18</v>
      </c>
      <c r="I958" s="3">
        <v>125</v>
      </c>
      <c r="J958" s="3" t="s">
        <v>119</v>
      </c>
      <c r="K958" s="3" t="s">
        <v>3</v>
      </c>
      <c r="L958" s="3" t="s">
        <v>103</v>
      </c>
      <c r="M958" s="4">
        <v>94900</v>
      </c>
      <c r="N958" s="5">
        <v>11.7</v>
      </c>
      <c r="O958" s="4">
        <f t="shared" si="28"/>
        <v>11103.3</v>
      </c>
      <c r="P958" s="4">
        <f t="shared" si="29"/>
        <v>83796.7</v>
      </c>
      <c r="Q958" s="3" t="s">
        <v>36</v>
      </c>
      <c r="R958" s="3" t="s">
        <v>67</v>
      </c>
      <c r="S958" s="3" t="s">
        <v>68</v>
      </c>
      <c r="T958" s="3" t="s">
        <v>29</v>
      </c>
    </row>
    <row r="959" spans="1:20" ht="15" customHeight="1" x14ac:dyDescent="0.3">
      <c r="A959" s="3" t="s">
        <v>2696</v>
      </c>
      <c r="B959" s="3" t="s">
        <v>203</v>
      </c>
      <c r="C959" s="3" t="s">
        <v>10</v>
      </c>
      <c r="D959" s="3" t="s">
        <v>892</v>
      </c>
      <c r="E959" s="3" t="s">
        <v>2697</v>
      </c>
      <c r="F959" s="3" t="s">
        <v>145</v>
      </c>
      <c r="G959" s="3" t="s">
        <v>169</v>
      </c>
      <c r="H959" s="3" t="s">
        <v>18</v>
      </c>
      <c r="I959" s="3">
        <v>162</v>
      </c>
      <c r="J959" s="3" t="s">
        <v>65</v>
      </c>
      <c r="K959" s="3" t="s">
        <v>5</v>
      </c>
      <c r="L959" s="3" t="s">
        <v>97</v>
      </c>
      <c r="M959" s="4">
        <v>124900</v>
      </c>
      <c r="N959" s="5">
        <v>10.8</v>
      </c>
      <c r="O959" s="4">
        <f t="shared" si="28"/>
        <v>13489.2</v>
      </c>
      <c r="P959" s="4">
        <f t="shared" si="29"/>
        <v>111410.8</v>
      </c>
      <c r="Q959" s="3" t="s">
        <v>36</v>
      </c>
      <c r="R959" s="3" t="s">
        <v>67</v>
      </c>
      <c r="S959" s="3" t="s">
        <v>67</v>
      </c>
      <c r="T959" s="3" t="s">
        <v>26</v>
      </c>
    </row>
    <row r="960" spans="1:20" ht="15" customHeight="1" x14ac:dyDescent="0.3">
      <c r="A960" s="3" t="s">
        <v>2698</v>
      </c>
      <c r="B960" s="3" t="s">
        <v>171</v>
      </c>
      <c r="C960" s="3" t="s">
        <v>12</v>
      </c>
      <c r="D960" s="3" t="s">
        <v>892</v>
      </c>
      <c r="E960" s="3" t="s">
        <v>2699</v>
      </c>
      <c r="F960" s="3" t="s">
        <v>124</v>
      </c>
      <c r="G960" s="3" t="s">
        <v>118</v>
      </c>
      <c r="H960" s="3" t="s">
        <v>20</v>
      </c>
      <c r="I960" s="3">
        <v>350</v>
      </c>
      <c r="J960" s="3" t="s">
        <v>81</v>
      </c>
      <c r="K960" s="3" t="s">
        <v>7</v>
      </c>
      <c r="L960" s="3" t="s">
        <v>66</v>
      </c>
      <c r="M960" s="4">
        <v>159900</v>
      </c>
      <c r="N960" s="5">
        <v>9.3000000000000007</v>
      </c>
      <c r="O960" s="4">
        <f t="shared" si="28"/>
        <v>14870.7</v>
      </c>
      <c r="P960" s="4">
        <f t="shared" si="29"/>
        <v>145029.29999999999</v>
      </c>
      <c r="Q960" s="3" t="s">
        <v>25</v>
      </c>
      <c r="R960" s="3" t="s">
        <v>67</v>
      </c>
      <c r="S960" s="3" t="s">
        <v>68</v>
      </c>
      <c r="T960" s="3" t="s">
        <v>26</v>
      </c>
    </row>
    <row r="961" spans="1:20" ht="15" customHeight="1" x14ac:dyDescent="0.3">
      <c r="A961" s="3" t="s">
        <v>2700</v>
      </c>
      <c r="B961" s="3" t="s">
        <v>326</v>
      </c>
      <c r="C961" s="3" t="s">
        <v>0</v>
      </c>
      <c r="D961" s="3" t="s">
        <v>1014</v>
      </c>
      <c r="E961" s="3" t="s">
        <v>2701</v>
      </c>
      <c r="F961" s="3" t="s">
        <v>174</v>
      </c>
      <c r="G961" s="3" t="s">
        <v>135</v>
      </c>
      <c r="H961" s="3" t="s">
        <v>19</v>
      </c>
      <c r="I961" s="3">
        <v>160</v>
      </c>
      <c r="J961" s="3" t="s">
        <v>164</v>
      </c>
      <c r="K961" s="3" t="s">
        <v>7</v>
      </c>
      <c r="L961" s="3" t="s">
        <v>90</v>
      </c>
      <c r="M961" s="4">
        <v>124900</v>
      </c>
      <c r="N961" s="5">
        <v>6.9</v>
      </c>
      <c r="O961" s="4">
        <f t="shared" si="28"/>
        <v>8618.1</v>
      </c>
      <c r="P961" s="4">
        <f t="shared" si="29"/>
        <v>116281.9</v>
      </c>
      <c r="Q961" s="3" t="s">
        <v>28</v>
      </c>
      <c r="R961" s="3" t="s">
        <v>68</v>
      </c>
      <c r="S961" s="3" t="s">
        <v>67</v>
      </c>
      <c r="T961" s="3" t="s">
        <v>32</v>
      </c>
    </row>
    <row r="962" spans="1:20" ht="15" customHeight="1" x14ac:dyDescent="0.3">
      <c r="A962" s="3" t="s">
        <v>2702</v>
      </c>
      <c r="B962" s="3" t="s">
        <v>911</v>
      </c>
      <c r="C962" s="3" t="s">
        <v>17</v>
      </c>
      <c r="D962" s="3" t="s">
        <v>1629</v>
      </c>
      <c r="E962" s="3" t="s">
        <v>2703</v>
      </c>
      <c r="F962" s="3" t="s">
        <v>134</v>
      </c>
      <c r="G962" s="3" t="s">
        <v>95</v>
      </c>
      <c r="H962" s="3" t="s">
        <v>22</v>
      </c>
      <c r="I962" s="3">
        <v>0</v>
      </c>
      <c r="J962" s="3" t="s">
        <v>179</v>
      </c>
      <c r="K962" s="3" t="s">
        <v>7</v>
      </c>
      <c r="L962" s="3" t="s">
        <v>136</v>
      </c>
      <c r="M962" s="4">
        <v>139999</v>
      </c>
      <c r="N962" s="5">
        <v>10.6</v>
      </c>
      <c r="O962" s="4">
        <f t="shared" ref="O962:O1001" si="30">M962*N962/100</f>
        <v>14839.893999999998</v>
      </c>
      <c r="P962" s="4">
        <f t="shared" ref="P962:P1001" si="31">M962-O962</f>
        <v>125159.106</v>
      </c>
      <c r="Q962" s="3" t="s">
        <v>34</v>
      </c>
      <c r="R962" s="3" t="s">
        <v>67</v>
      </c>
      <c r="S962" s="3" t="s">
        <v>68</v>
      </c>
      <c r="T962" s="3" t="s">
        <v>32</v>
      </c>
    </row>
    <row r="963" spans="1:20" ht="15" customHeight="1" x14ac:dyDescent="0.3">
      <c r="A963" s="3" t="s">
        <v>2704</v>
      </c>
      <c r="B963" s="3" t="s">
        <v>826</v>
      </c>
      <c r="C963" s="3" t="s">
        <v>0</v>
      </c>
      <c r="D963" s="3" t="s">
        <v>2705</v>
      </c>
      <c r="E963" s="3" t="s">
        <v>2706</v>
      </c>
      <c r="F963" s="3" t="s">
        <v>134</v>
      </c>
      <c r="G963" s="3" t="s">
        <v>73</v>
      </c>
      <c r="H963" s="3" t="s">
        <v>21</v>
      </c>
      <c r="I963" s="3">
        <v>110</v>
      </c>
      <c r="J963" s="3" t="s">
        <v>65</v>
      </c>
      <c r="K963" s="3" t="s">
        <v>11</v>
      </c>
      <c r="L963" s="3" t="s">
        <v>206</v>
      </c>
      <c r="M963" s="4">
        <v>79900</v>
      </c>
      <c r="N963" s="5">
        <v>11.8</v>
      </c>
      <c r="O963" s="4">
        <f t="shared" si="30"/>
        <v>9428.2000000000007</v>
      </c>
      <c r="P963" s="4">
        <f t="shared" si="31"/>
        <v>70471.8</v>
      </c>
      <c r="Q963" s="3" t="s">
        <v>40</v>
      </c>
      <c r="R963" s="3" t="s">
        <v>67</v>
      </c>
      <c r="S963" s="3" t="s">
        <v>68</v>
      </c>
      <c r="T963" s="3" t="s">
        <v>32</v>
      </c>
    </row>
    <row r="964" spans="1:20" ht="15" customHeight="1" x14ac:dyDescent="0.3">
      <c r="A964" s="3" t="s">
        <v>2707</v>
      </c>
      <c r="B964" s="3" t="s">
        <v>391</v>
      </c>
      <c r="C964" s="3" t="s">
        <v>6</v>
      </c>
      <c r="D964" s="3" t="s">
        <v>1721</v>
      </c>
      <c r="E964" s="3" t="s">
        <v>2708</v>
      </c>
      <c r="F964" s="3" t="s">
        <v>79</v>
      </c>
      <c r="G964" s="3" t="s">
        <v>64</v>
      </c>
      <c r="H964" s="3" t="s">
        <v>19</v>
      </c>
      <c r="I964" s="3">
        <v>200</v>
      </c>
      <c r="J964" s="3" t="s">
        <v>102</v>
      </c>
      <c r="K964" s="3" t="s">
        <v>5</v>
      </c>
      <c r="L964" s="3" t="s">
        <v>97</v>
      </c>
      <c r="M964" s="4">
        <v>199900</v>
      </c>
      <c r="N964" s="5">
        <v>3.7</v>
      </c>
      <c r="O964" s="4">
        <f t="shared" si="30"/>
        <v>7396.3</v>
      </c>
      <c r="P964" s="4">
        <f t="shared" si="31"/>
        <v>192503.7</v>
      </c>
      <c r="Q964" s="3" t="s">
        <v>34</v>
      </c>
      <c r="R964" s="3" t="s">
        <v>68</v>
      </c>
      <c r="S964" s="3" t="s">
        <v>68</v>
      </c>
      <c r="T964" s="3" t="s">
        <v>32</v>
      </c>
    </row>
    <row r="965" spans="1:20" ht="15" customHeight="1" x14ac:dyDescent="0.3">
      <c r="A965" s="3" t="s">
        <v>2709</v>
      </c>
      <c r="B965" s="3" t="s">
        <v>268</v>
      </c>
      <c r="C965" s="3" t="s">
        <v>4</v>
      </c>
      <c r="D965" s="3" t="s">
        <v>2710</v>
      </c>
      <c r="E965" s="3" t="s">
        <v>2711</v>
      </c>
      <c r="F965" s="3" t="s">
        <v>87</v>
      </c>
      <c r="G965" s="3" t="s">
        <v>316</v>
      </c>
      <c r="H965" s="3" t="s">
        <v>19</v>
      </c>
      <c r="I965" s="3">
        <v>150</v>
      </c>
      <c r="J965" s="3" t="s">
        <v>243</v>
      </c>
      <c r="K965" s="3" t="s">
        <v>5</v>
      </c>
      <c r="L965" s="3" t="s">
        <v>136</v>
      </c>
      <c r="M965" s="4">
        <v>109900</v>
      </c>
      <c r="N965" s="5">
        <v>9.4</v>
      </c>
      <c r="O965" s="4">
        <f t="shared" si="30"/>
        <v>10330.6</v>
      </c>
      <c r="P965" s="4">
        <f t="shared" si="31"/>
        <v>99569.4</v>
      </c>
      <c r="Q965" s="3" t="s">
        <v>25</v>
      </c>
      <c r="R965" s="3" t="s">
        <v>68</v>
      </c>
      <c r="S965" s="3" t="s">
        <v>68</v>
      </c>
      <c r="T965" s="3" t="s">
        <v>29</v>
      </c>
    </row>
    <row r="966" spans="1:20" ht="15" customHeight="1" x14ac:dyDescent="0.3">
      <c r="A966" s="3" t="s">
        <v>2712</v>
      </c>
      <c r="B966" s="3" t="s">
        <v>924</v>
      </c>
      <c r="C966" s="3" t="s">
        <v>14</v>
      </c>
      <c r="D966" s="3" t="s">
        <v>552</v>
      </c>
      <c r="E966" s="3" t="s">
        <v>2713</v>
      </c>
      <c r="F966" s="3" t="s">
        <v>155</v>
      </c>
      <c r="G966" s="3" t="s">
        <v>118</v>
      </c>
      <c r="H966" s="3" t="s">
        <v>20</v>
      </c>
      <c r="I966" s="3">
        <v>350</v>
      </c>
      <c r="J966" s="3" t="s">
        <v>65</v>
      </c>
      <c r="K966" s="3" t="s">
        <v>9</v>
      </c>
      <c r="L966" s="3" t="s">
        <v>74</v>
      </c>
      <c r="M966" s="4">
        <v>159900</v>
      </c>
      <c r="N966" s="5">
        <v>14.4</v>
      </c>
      <c r="O966" s="4">
        <f t="shared" si="30"/>
        <v>23025.599999999999</v>
      </c>
      <c r="P966" s="4">
        <f t="shared" si="31"/>
        <v>136874.4</v>
      </c>
      <c r="Q966" s="3" t="s">
        <v>31</v>
      </c>
      <c r="R966" s="3" t="s">
        <v>67</v>
      </c>
      <c r="S966" s="3" t="s">
        <v>68</v>
      </c>
      <c r="T966" s="3" t="s">
        <v>26</v>
      </c>
    </row>
    <row r="967" spans="1:20" ht="15" customHeight="1" x14ac:dyDescent="0.3">
      <c r="A967" s="3" t="s">
        <v>2714</v>
      </c>
      <c r="B967" s="3" t="s">
        <v>121</v>
      </c>
      <c r="C967" s="3" t="s">
        <v>13</v>
      </c>
      <c r="D967" s="3" t="s">
        <v>552</v>
      </c>
      <c r="E967" s="3" t="s">
        <v>2715</v>
      </c>
      <c r="F967" s="3" t="s">
        <v>134</v>
      </c>
      <c r="G967" s="3" t="s">
        <v>73</v>
      </c>
      <c r="H967" s="3" t="s">
        <v>21</v>
      </c>
      <c r="I967" s="3">
        <v>110</v>
      </c>
      <c r="J967" s="3" t="s">
        <v>119</v>
      </c>
      <c r="K967" s="3" t="s">
        <v>7</v>
      </c>
      <c r="L967" s="3" t="s">
        <v>82</v>
      </c>
      <c r="M967" s="4">
        <v>79900</v>
      </c>
      <c r="N967" s="5">
        <v>4</v>
      </c>
      <c r="O967" s="4">
        <f t="shared" si="30"/>
        <v>3196</v>
      </c>
      <c r="P967" s="4">
        <f t="shared" si="31"/>
        <v>76704</v>
      </c>
      <c r="Q967" s="3" t="s">
        <v>25</v>
      </c>
      <c r="R967" s="3" t="s">
        <v>67</v>
      </c>
      <c r="S967" s="3" t="s">
        <v>68</v>
      </c>
      <c r="T967" s="3" t="s">
        <v>26</v>
      </c>
    </row>
    <row r="968" spans="1:20" ht="15" customHeight="1" x14ac:dyDescent="0.3">
      <c r="A968" s="3" t="s">
        <v>2716</v>
      </c>
      <c r="B968" s="3" t="s">
        <v>268</v>
      </c>
      <c r="C968" s="3" t="s">
        <v>4</v>
      </c>
      <c r="D968" s="3" t="s">
        <v>1372</v>
      </c>
      <c r="E968" s="3" t="s">
        <v>2717</v>
      </c>
      <c r="F968" s="3" t="s">
        <v>145</v>
      </c>
      <c r="G968" s="3" t="s">
        <v>211</v>
      </c>
      <c r="H968" s="3" t="s">
        <v>20</v>
      </c>
      <c r="I968" s="3">
        <v>350</v>
      </c>
      <c r="J968" s="3" t="s">
        <v>119</v>
      </c>
      <c r="K968" s="3" t="s">
        <v>5</v>
      </c>
      <c r="L968" s="3" t="s">
        <v>103</v>
      </c>
      <c r="M968" s="4">
        <v>199900</v>
      </c>
      <c r="N968" s="5">
        <v>3.8</v>
      </c>
      <c r="O968" s="4">
        <f t="shared" si="30"/>
        <v>7596.2</v>
      </c>
      <c r="P968" s="4">
        <f t="shared" si="31"/>
        <v>192303.8</v>
      </c>
      <c r="Q968" s="3" t="s">
        <v>28</v>
      </c>
      <c r="R968" s="3" t="s">
        <v>68</v>
      </c>
      <c r="S968" s="3" t="s">
        <v>68</v>
      </c>
      <c r="T968" s="3" t="s">
        <v>26</v>
      </c>
    </row>
    <row r="969" spans="1:20" ht="15" customHeight="1" x14ac:dyDescent="0.3">
      <c r="A969" s="3" t="s">
        <v>2718</v>
      </c>
      <c r="B969" s="3" t="s">
        <v>276</v>
      </c>
      <c r="C969" s="3" t="s">
        <v>12</v>
      </c>
      <c r="D969" s="3" t="s">
        <v>468</v>
      </c>
      <c r="E969" s="3" t="s">
        <v>2719</v>
      </c>
      <c r="F969" s="3" t="s">
        <v>117</v>
      </c>
      <c r="G969" s="3" t="s">
        <v>189</v>
      </c>
      <c r="H969" s="3" t="s">
        <v>18</v>
      </c>
      <c r="I969" s="3">
        <v>100</v>
      </c>
      <c r="J969" s="3" t="s">
        <v>179</v>
      </c>
      <c r="K969" s="3" t="s">
        <v>1</v>
      </c>
      <c r="L969" s="3" t="s">
        <v>74</v>
      </c>
      <c r="M969" s="4">
        <v>72900</v>
      </c>
      <c r="N969" s="5">
        <v>9.1999999999999993</v>
      </c>
      <c r="O969" s="4">
        <f t="shared" si="30"/>
        <v>6706.8</v>
      </c>
      <c r="P969" s="4">
        <f t="shared" si="31"/>
        <v>66193.2</v>
      </c>
      <c r="Q969" s="3" t="s">
        <v>38</v>
      </c>
      <c r="R969" s="3" t="s">
        <v>68</v>
      </c>
      <c r="S969" s="3" t="s">
        <v>67</v>
      </c>
      <c r="T969" s="3" t="s">
        <v>26</v>
      </c>
    </row>
    <row r="970" spans="1:20" ht="15" customHeight="1" x14ac:dyDescent="0.3">
      <c r="A970" s="3" t="s">
        <v>2720</v>
      </c>
      <c r="B970" s="3" t="s">
        <v>713</v>
      </c>
      <c r="C970" s="3" t="s">
        <v>15</v>
      </c>
      <c r="D970" s="3" t="s">
        <v>308</v>
      </c>
      <c r="E970" s="3" t="s">
        <v>2721</v>
      </c>
      <c r="F970" s="3" t="s">
        <v>134</v>
      </c>
      <c r="G970" s="3" t="s">
        <v>222</v>
      </c>
      <c r="H970" s="3" t="s">
        <v>19</v>
      </c>
      <c r="I970" s="3">
        <v>155</v>
      </c>
      <c r="J970" s="3" t="s">
        <v>102</v>
      </c>
      <c r="K970" s="3" t="s">
        <v>11</v>
      </c>
      <c r="L970" s="3" t="s">
        <v>136</v>
      </c>
      <c r="M970" s="4">
        <v>167900</v>
      </c>
      <c r="N970" s="5">
        <v>11.4</v>
      </c>
      <c r="O970" s="4">
        <f t="shared" si="30"/>
        <v>19140.599999999999</v>
      </c>
      <c r="P970" s="4">
        <f t="shared" si="31"/>
        <v>148759.4</v>
      </c>
      <c r="Q970" s="3" t="s">
        <v>25</v>
      </c>
      <c r="R970" s="3" t="s">
        <v>67</v>
      </c>
      <c r="S970" s="3" t="s">
        <v>68</v>
      </c>
      <c r="T970" s="3" t="s">
        <v>32</v>
      </c>
    </row>
    <row r="971" spans="1:20" ht="15" customHeight="1" x14ac:dyDescent="0.3">
      <c r="A971" s="3" t="s">
        <v>2722</v>
      </c>
      <c r="B971" s="3" t="s">
        <v>1067</v>
      </c>
      <c r="C971" s="3" t="s">
        <v>17</v>
      </c>
      <c r="D971" s="3" t="s">
        <v>2723</v>
      </c>
      <c r="E971" s="3" t="s">
        <v>2724</v>
      </c>
      <c r="F971" s="3" t="s">
        <v>134</v>
      </c>
      <c r="G971" s="3" t="s">
        <v>256</v>
      </c>
      <c r="H971" s="3" t="s">
        <v>21</v>
      </c>
      <c r="I971" s="3">
        <v>110</v>
      </c>
      <c r="J971" s="3" t="s">
        <v>179</v>
      </c>
      <c r="K971" s="3" t="s">
        <v>11</v>
      </c>
      <c r="L971" s="3" t="s">
        <v>74</v>
      </c>
      <c r="M971" s="4">
        <v>80900</v>
      </c>
      <c r="N971" s="5">
        <v>9.6999999999999993</v>
      </c>
      <c r="O971" s="4">
        <f t="shared" si="30"/>
        <v>7847.3</v>
      </c>
      <c r="P971" s="4">
        <f t="shared" si="31"/>
        <v>73052.7</v>
      </c>
      <c r="Q971" s="3" t="s">
        <v>28</v>
      </c>
      <c r="R971" s="3" t="s">
        <v>67</v>
      </c>
      <c r="S971" s="3" t="s">
        <v>68</v>
      </c>
      <c r="T971" s="3" t="s">
        <v>32</v>
      </c>
    </row>
    <row r="972" spans="1:20" ht="15" customHeight="1" x14ac:dyDescent="0.3">
      <c r="A972" s="3" t="s">
        <v>2725</v>
      </c>
      <c r="B972" s="3" t="s">
        <v>493</v>
      </c>
      <c r="C972" s="3" t="s">
        <v>14</v>
      </c>
      <c r="D972" s="3" t="s">
        <v>1930</v>
      </c>
      <c r="E972" s="3" t="s">
        <v>2726</v>
      </c>
      <c r="F972" s="3" t="s">
        <v>117</v>
      </c>
      <c r="G972" s="3" t="s">
        <v>316</v>
      </c>
      <c r="H972" s="3" t="s">
        <v>19</v>
      </c>
      <c r="I972" s="3">
        <v>150</v>
      </c>
      <c r="J972" s="3" t="s">
        <v>96</v>
      </c>
      <c r="K972" s="3" t="s">
        <v>9</v>
      </c>
      <c r="L972" s="3" t="s">
        <v>74</v>
      </c>
      <c r="M972" s="4">
        <v>109900</v>
      </c>
      <c r="N972" s="5">
        <v>14</v>
      </c>
      <c r="O972" s="4">
        <f t="shared" si="30"/>
        <v>15386</v>
      </c>
      <c r="P972" s="4">
        <f t="shared" si="31"/>
        <v>94514</v>
      </c>
      <c r="Q972" s="3" t="s">
        <v>40</v>
      </c>
      <c r="R972" s="3" t="s">
        <v>68</v>
      </c>
      <c r="S972" s="3" t="s">
        <v>68</v>
      </c>
      <c r="T972" s="3" t="s">
        <v>29</v>
      </c>
    </row>
    <row r="973" spans="1:20" ht="15" customHeight="1" x14ac:dyDescent="0.3">
      <c r="A973" s="3" t="s">
        <v>2727</v>
      </c>
      <c r="B973" s="3" t="s">
        <v>326</v>
      </c>
      <c r="C973" s="3" t="s">
        <v>0</v>
      </c>
      <c r="D973" s="3" t="s">
        <v>615</v>
      </c>
      <c r="E973" s="3" t="s">
        <v>2728</v>
      </c>
      <c r="F973" s="3" t="s">
        <v>155</v>
      </c>
      <c r="G973" s="3" t="s">
        <v>222</v>
      </c>
      <c r="H973" s="3" t="s">
        <v>19</v>
      </c>
      <c r="I973" s="3">
        <v>155</v>
      </c>
      <c r="J973" s="3" t="s">
        <v>243</v>
      </c>
      <c r="K973" s="3" t="s">
        <v>1</v>
      </c>
      <c r="L973" s="3" t="s">
        <v>206</v>
      </c>
      <c r="M973" s="4">
        <v>167900</v>
      </c>
      <c r="N973" s="5">
        <v>6.2</v>
      </c>
      <c r="O973" s="4">
        <f t="shared" si="30"/>
        <v>10409.799999999999</v>
      </c>
      <c r="P973" s="4">
        <f t="shared" si="31"/>
        <v>157490.20000000001</v>
      </c>
      <c r="Q973" s="3" t="s">
        <v>28</v>
      </c>
      <c r="R973" s="3" t="s">
        <v>67</v>
      </c>
      <c r="S973" s="3" t="s">
        <v>67</v>
      </c>
      <c r="T973" s="3" t="s">
        <v>26</v>
      </c>
    </row>
    <row r="974" spans="1:20" ht="15" customHeight="1" x14ac:dyDescent="0.3">
      <c r="A974" s="3" t="s">
        <v>2729</v>
      </c>
      <c r="B974" s="3" t="s">
        <v>607</v>
      </c>
      <c r="C974" s="3" t="s">
        <v>15</v>
      </c>
      <c r="D974" s="3" t="s">
        <v>835</v>
      </c>
      <c r="E974" s="3" t="s">
        <v>2730</v>
      </c>
      <c r="F974" s="3" t="s">
        <v>112</v>
      </c>
      <c r="G974" s="3" t="s">
        <v>201</v>
      </c>
      <c r="H974" s="3" t="s">
        <v>19</v>
      </c>
      <c r="I974" s="3">
        <v>160</v>
      </c>
      <c r="J974" s="3" t="s">
        <v>65</v>
      </c>
      <c r="K974" s="3" t="s">
        <v>5</v>
      </c>
      <c r="L974" s="3" t="s">
        <v>97</v>
      </c>
      <c r="M974" s="4">
        <v>129900</v>
      </c>
      <c r="N974" s="5">
        <v>13</v>
      </c>
      <c r="O974" s="4">
        <f t="shared" si="30"/>
        <v>16887</v>
      </c>
      <c r="P974" s="4">
        <f t="shared" si="31"/>
        <v>113013</v>
      </c>
      <c r="Q974" s="3" t="s">
        <v>34</v>
      </c>
      <c r="R974" s="3" t="s">
        <v>67</v>
      </c>
      <c r="S974" s="3" t="s">
        <v>67</v>
      </c>
      <c r="T974" s="3" t="s">
        <v>26</v>
      </c>
    </row>
    <row r="975" spans="1:20" ht="15" customHeight="1" x14ac:dyDescent="0.3">
      <c r="A975" s="3" t="s">
        <v>2731</v>
      </c>
      <c r="B975" s="3" t="s">
        <v>713</v>
      </c>
      <c r="C975" s="3" t="s">
        <v>15</v>
      </c>
      <c r="D975" s="3" t="s">
        <v>1182</v>
      </c>
      <c r="E975" s="3" t="s">
        <v>2732</v>
      </c>
      <c r="F975" s="3" t="s">
        <v>124</v>
      </c>
      <c r="G975" s="3" t="s">
        <v>222</v>
      </c>
      <c r="H975" s="3" t="s">
        <v>19</v>
      </c>
      <c r="I975" s="3">
        <v>155</v>
      </c>
      <c r="J975" s="3" t="s">
        <v>164</v>
      </c>
      <c r="K975" s="3" t="s">
        <v>11</v>
      </c>
      <c r="L975" s="3" t="s">
        <v>103</v>
      </c>
      <c r="M975" s="4">
        <v>167900</v>
      </c>
      <c r="N975" s="5">
        <v>5.0999999999999996</v>
      </c>
      <c r="O975" s="4">
        <f t="shared" si="30"/>
        <v>8562.9</v>
      </c>
      <c r="P975" s="4">
        <f t="shared" si="31"/>
        <v>159337.1</v>
      </c>
      <c r="Q975" s="3" t="s">
        <v>38</v>
      </c>
      <c r="R975" s="3" t="s">
        <v>67</v>
      </c>
      <c r="S975" s="3" t="s">
        <v>68</v>
      </c>
      <c r="T975" s="3" t="s">
        <v>26</v>
      </c>
    </row>
    <row r="976" spans="1:20" ht="15" customHeight="1" x14ac:dyDescent="0.3">
      <c r="A976" s="3" t="s">
        <v>2733</v>
      </c>
      <c r="B976" s="3" t="s">
        <v>272</v>
      </c>
      <c r="C976" s="3" t="s">
        <v>0</v>
      </c>
      <c r="D976" s="3" t="s">
        <v>1637</v>
      </c>
      <c r="E976" s="3" t="s">
        <v>2734</v>
      </c>
      <c r="F976" s="3" t="s">
        <v>174</v>
      </c>
      <c r="G976" s="3" t="s">
        <v>80</v>
      </c>
      <c r="H976" s="3" t="s">
        <v>22</v>
      </c>
      <c r="I976" s="3">
        <v>0</v>
      </c>
      <c r="J976" s="3" t="s">
        <v>119</v>
      </c>
      <c r="K976" s="3" t="s">
        <v>3</v>
      </c>
      <c r="L976" s="3" t="s">
        <v>97</v>
      </c>
      <c r="M976" s="4">
        <v>145000</v>
      </c>
      <c r="N976" s="5">
        <v>10.8</v>
      </c>
      <c r="O976" s="4">
        <f t="shared" si="30"/>
        <v>15660</v>
      </c>
      <c r="P976" s="4">
        <f t="shared" si="31"/>
        <v>129340</v>
      </c>
      <c r="Q976" s="3" t="s">
        <v>38</v>
      </c>
      <c r="R976" s="3" t="s">
        <v>67</v>
      </c>
      <c r="S976" s="3" t="s">
        <v>67</v>
      </c>
      <c r="T976" s="3" t="s">
        <v>26</v>
      </c>
    </row>
    <row r="977" spans="1:20" ht="15" customHeight="1" x14ac:dyDescent="0.3">
      <c r="A977" s="3" t="s">
        <v>2735</v>
      </c>
      <c r="B977" s="3" t="s">
        <v>126</v>
      </c>
      <c r="C977" s="3" t="s">
        <v>14</v>
      </c>
      <c r="D977" s="3" t="s">
        <v>774</v>
      </c>
      <c r="E977" s="3" t="s">
        <v>2736</v>
      </c>
      <c r="F977" s="3" t="s">
        <v>63</v>
      </c>
      <c r="G977" s="3" t="s">
        <v>256</v>
      </c>
      <c r="H977" s="3" t="s">
        <v>21</v>
      </c>
      <c r="I977" s="3">
        <v>110</v>
      </c>
      <c r="J977" s="3" t="s">
        <v>119</v>
      </c>
      <c r="K977" s="3" t="s">
        <v>11</v>
      </c>
      <c r="L977" s="3" t="s">
        <v>103</v>
      </c>
      <c r="M977" s="4">
        <v>80900</v>
      </c>
      <c r="N977" s="5">
        <v>3.4</v>
      </c>
      <c r="O977" s="4">
        <f t="shared" si="30"/>
        <v>2750.6</v>
      </c>
      <c r="P977" s="4">
        <f t="shared" si="31"/>
        <v>78149.399999999994</v>
      </c>
      <c r="Q977" s="3" t="s">
        <v>34</v>
      </c>
      <c r="R977" s="3" t="s">
        <v>67</v>
      </c>
      <c r="S977" s="3" t="s">
        <v>67</v>
      </c>
      <c r="T977" s="3" t="s">
        <v>26</v>
      </c>
    </row>
    <row r="978" spans="1:20" ht="15" customHeight="1" x14ac:dyDescent="0.3">
      <c r="A978" s="3" t="s">
        <v>2737</v>
      </c>
      <c r="B978" s="3" t="s">
        <v>272</v>
      </c>
      <c r="C978" s="3" t="s">
        <v>0</v>
      </c>
      <c r="D978" s="3" t="s">
        <v>670</v>
      </c>
      <c r="E978" s="3" t="s">
        <v>2738</v>
      </c>
      <c r="F978" s="3" t="s">
        <v>63</v>
      </c>
      <c r="G978" s="3" t="s">
        <v>316</v>
      </c>
      <c r="H978" s="3" t="s">
        <v>19</v>
      </c>
      <c r="I978" s="3">
        <v>150</v>
      </c>
      <c r="J978" s="3" t="s">
        <v>89</v>
      </c>
      <c r="K978" s="3" t="s">
        <v>9</v>
      </c>
      <c r="L978" s="3" t="s">
        <v>103</v>
      </c>
      <c r="M978" s="4">
        <v>109900</v>
      </c>
      <c r="N978" s="5">
        <v>5.7</v>
      </c>
      <c r="O978" s="4">
        <f t="shared" si="30"/>
        <v>6264.3</v>
      </c>
      <c r="P978" s="4">
        <f t="shared" si="31"/>
        <v>103635.7</v>
      </c>
      <c r="Q978" s="3" t="s">
        <v>28</v>
      </c>
      <c r="R978" s="3" t="s">
        <v>67</v>
      </c>
      <c r="S978" s="3" t="s">
        <v>68</v>
      </c>
      <c r="T978" s="3" t="s">
        <v>32</v>
      </c>
    </row>
    <row r="979" spans="1:20" ht="15" customHeight="1" x14ac:dyDescent="0.3">
      <c r="A979" s="3" t="s">
        <v>2739</v>
      </c>
      <c r="B979" s="3" t="s">
        <v>732</v>
      </c>
      <c r="C979" s="3" t="s">
        <v>8</v>
      </c>
      <c r="D979" s="3" t="s">
        <v>1795</v>
      </c>
      <c r="E979" s="3" t="s">
        <v>2740</v>
      </c>
      <c r="F979" s="3" t="s">
        <v>112</v>
      </c>
      <c r="G979" s="3" t="s">
        <v>201</v>
      </c>
      <c r="H979" s="3" t="s">
        <v>19</v>
      </c>
      <c r="I979" s="3">
        <v>160</v>
      </c>
      <c r="J979" s="3" t="s">
        <v>179</v>
      </c>
      <c r="K979" s="3" t="s">
        <v>11</v>
      </c>
      <c r="L979" s="3" t="s">
        <v>103</v>
      </c>
      <c r="M979" s="4">
        <v>129900</v>
      </c>
      <c r="N979" s="5">
        <v>5.3</v>
      </c>
      <c r="O979" s="4">
        <f t="shared" si="30"/>
        <v>6884.7</v>
      </c>
      <c r="P979" s="4">
        <f t="shared" si="31"/>
        <v>123015.3</v>
      </c>
      <c r="Q979" s="3" t="s">
        <v>31</v>
      </c>
      <c r="R979" s="3" t="s">
        <v>68</v>
      </c>
      <c r="S979" s="3" t="s">
        <v>68</v>
      </c>
      <c r="T979" s="3" t="s">
        <v>26</v>
      </c>
    </row>
    <row r="980" spans="1:20" ht="15" customHeight="1" x14ac:dyDescent="0.3">
      <c r="A980" s="3" t="s">
        <v>2741</v>
      </c>
      <c r="B980" s="3" t="s">
        <v>406</v>
      </c>
      <c r="C980" s="3" t="s">
        <v>17</v>
      </c>
      <c r="D980" s="3" t="s">
        <v>1170</v>
      </c>
      <c r="E980" s="3" t="s">
        <v>2742</v>
      </c>
      <c r="F980" s="3" t="s">
        <v>87</v>
      </c>
      <c r="G980" s="3" t="s">
        <v>189</v>
      </c>
      <c r="H980" s="3" t="s">
        <v>18</v>
      </c>
      <c r="I980" s="3">
        <v>100</v>
      </c>
      <c r="J980" s="3" t="s">
        <v>65</v>
      </c>
      <c r="K980" s="3" t="s">
        <v>11</v>
      </c>
      <c r="L980" s="3" t="s">
        <v>66</v>
      </c>
      <c r="M980" s="4">
        <v>72900</v>
      </c>
      <c r="N980" s="5">
        <v>9.5</v>
      </c>
      <c r="O980" s="4">
        <f t="shared" si="30"/>
        <v>6925.5</v>
      </c>
      <c r="P980" s="4">
        <f t="shared" si="31"/>
        <v>65974.5</v>
      </c>
      <c r="Q980" s="3" t="s">
        <v>28</v>
      </c>
      <c r="R980" s="3" t="s">
        <v>67</v>
      </c>
      <c r="S980" s="3" t="s">
        <v>68</v>
      </c>
      <c r="T980" s="3" t="s">
        <v>26</v>
      </c>
    </row>
    <row r="981" spans="1:20" ht="15" customHeight="1" x14ac:dyDescent="0.3">
      <c r="A981" s="3" t="s">
        <v>2743</v>
      </c>
      <c r="B981" s="3" t="s">
        <v>421</v>
      </c>
      <c r="C981" s="3" t="s">
        <v>15</v>
      </c>
      <c r="D981" s="3" t="s">
        <v>422</v>
      </c>
      <c r="E981" s="3" t="s">
        <v>2744</v>
      </c>
      <c r="F981" s="3" t="s">
        <v>145</v>
      </c>
      <c r="G981" s="3" t="s">
        <v>135</v>
      </c>
      <c r="H981" s="3" t="s">
        <v>19</v>
      </c>
      <c r="I981" s="3">
        <v>160</v>
      </c>
      <c r="J981" s="3" t="s">
        <v>129</v>
      </c>
      <c r="K981" s="3" t="s">
        <v>5</v>
      </c>
      <c r="L981" s="3" t="s">
        <v>136</v>
      </c>
      <c r="M981" s="4">
        <v>124900</v>
      </c>
      <c r="N981" s="5">
        <v>6.8</v>
      </c>
      <c r="O981" s="4">
        <f t="shared" si="30"/>
        <v>8493.2000000000007</v>
      </c>
      <c r="P981" s="4">
        <f t="shared" si="31"/>
        <v>116406.8</v>
      </c>
      <c r="Q981" s="3" t="s">
        <v>40</v>
      </c>
      <c r="R981" s="3" t="s">
        <v>68</v>
      </c>
      <c r="S981" s="3" t="s">
        <v>68</v>
      </c>
      <c r="T981" s="3" t="s">
        <v>32</v>
      </c>
    </row>
    <row r="982" spans="1:20" ht="15" customHeight="1" x14ac:dyDescent="0.3">
      <c r="A982" s="3" t="s">
        <v>2745</v>
      </c>
      <c r="B982" s="3" t="s">
        <v>245</v>
      </c>
      <c r="C982" s="3" t="s">
        <v>14</v>
      </c>
      <c r="D982" s="3" t="s">
        <v>2746</v>
      </c>
      <c r="E982" s="3" t="s">
        <v>2747</v>
      </c>
      <c r="F982" s="3" t="s">
        <v>112</v>
      </c>
      <c r="G982" s="3" t="s">
        <v>256</v>
      </c>
      <c r="H982" s="3" t="s">
        <v>21</v>
      </c>
      <c r="I982" s="3">
        <v>110</v>
      </c>
      <c r="J982" s="3" t="s">
        <v>243</v>
      </c>
      <c r="K982" s="3" t="s">
        <v>11</v>
      </c>
      <c r="L982" s="3" t="s">
        <v>97</v>
      </c>
      <c r="M982" s="4">
        <v>80900</v>
      </c>
      <c r="N982" s="5">
        <v>5</v>
      </c>
      <c r="O982" s="4">
        <f t="shared" si="30"/>
        <v>4045</v>
      </c>
      <c r="P982" s="4">
        <f t="shared" si="31"/>
        <v>76855</v>
      </c>
      <c r="Q982" s="3" t="s">
        <v>38</v>
      </c>
      <c r="R982" s="3" t="s">
        <v>67</v>
      </c>
      <c r="S982" s="3" t="s">
        <v>67</v>
      </c>
      <c r="T982" s="3" t="s">
        <v>26</v>
      </c>
    </row>
    <row r="983" spans="1:20" ht="15" customHeight="1" x14ac:dyDescent="0.3">
      <c r="A983" s="3" t="s">
        <v>2748</v>
      </c>
      <c r="B983" s="3" t="s">
        <v>293</v>
      </c>
      <c r="C983" s="3" t="s">
        <v>10</v>
      </c>
      <c r="D983" s="3" t="s">
        <v>319</v>
      </c>
      <c r="E983" s="3" t="s">
        <v>2749</v>
      </c>
      <c r="F983" s="3" t="s">
        <v>63</v>
      </c>
      <c r="G983" s="3" t="s">
        <v>169</v>
      </c>
      <c r="H983" s="3" t="s">
        <v>18</v>
      </c>
      <c r="I983" s="3">
        <v>162</v>
      </c>
      <c r="J983" s="3" t="s">
        <v>164</v>
      </c>
      <c r="K983" s="3" t="s">
        <v>1</v>
      </c>
      <c r="L983" s="3" t="s">
        <v>103</v>
      </c>
      <c r="M983" s="4">
        <v>124900</v>
      </c>
      <c r="N983" s="5">
        <v>8.5</v>
      </c>
      <c r="O983" s="4">
        <f t="shared" si="30"/>
        <v>10616.5</v>
      </c>
      <c r="P983" s="4">
        <f t="shared" si="31"/>
        <v>114283.5</v>
      </c>
      <c r="Q983" s="3" t="s">
        <v>38</v>
      </c>
      <c r="R983" s="3" t="s">
        <v>67</v>
      </c>
      <c r="S983" s="3" t="s">
        <v>67</v>
      </c>
      <c r="T983" s="3" t="s">
        <v>29</v>
      </c>
    </row>
    <row r="984" spans="1:20" ht="15" customHeight="1" x14ac:dyDescent="0.3">
      <c r="A984" s="3" t="s">
        <v>2750</v>
      </c>
      <c r="B984" s="3" t="s">
        <v>573</v>
      </c>
      <c r="C984" s="3" t="s">
        <v>12</v>
      </c>
      <c r="D984" s="3" t="s">
        <v>1533</v>
      </c>
      <c r="E984" s="3" t="s">
        <v>2751</v>
      </c>
      <c r="F984" s="3" t="s">
        <v>79</v>
      </c>
      <c r="G984" s="3" t="s">
        <v>95</v>
      </c>
      <c r="H984" s="3" t="s">
        <v>22</v>
      </c>
      <c r="I984" s="3">
        <v>0</v>
      </c>
      <c r="J984" s="3" t="s">
        <v>243</v>
      </c>
      <c r="K984" s="3" t="s">
        <v>5</v>
      </c>
      <c r="L984" s="3" t="s">
        <v>206</v>
      </c>
      <c r="M984" s="4">
        <v>139999</v>
      </c>
      <c r="N984" s="5">
        <v>11.1</v>
      </c>
      <c r="O984" s="4">
        <f t="shared" si="30"/>
        <v>15539.888999999999</v>
      </c>
      <c r="P984" s="4">
        <f t="shared" si="31"/>
        <v>124459.111</v>
      </c>
      <c r="Q984" s="3" t="s">
        <v>34</v>
      </c>
      <c r="R984" s="3" t="s">
        <v>68</v>
      </c>
      <c r="S984" s="3" t="s">
        <v>68</v>
      </c>
      <c r="T984" s="3" t="s">
        <v>26</v>
      </c>
    </row>
    <row r="985" spans="1:20" ht="15" customHeight="1" x14ac:dyDescent="0.3">
      <c r="A985" s="3" t="s">
        <v>2752</v>
      </c>
      <c r="B985" s="3" t="s">
        <v>812</v>
      </c>
      <c r="C985" s="3" t="s">
        <v>8</v>
      </c>
      <c r="D985" s="3" t="s">
        <v>750</v>
      </c>
      <c r="E985" s="3" t="s">
        <v>2753</v>
      </c>
      <c r="F985" s="3" t="s">
        <v>145</v>
      </c>
      <c r="G985" s="3" t="s">
        <v>256</v>
      </c>
      <c r="H985" s="3" t="s">
        <v>21</v>
      </c>
      <c r="I985" s="3">
        <v>110</v>
      </c>
      <c r="J985" s="3" t="s">
        <v>102</v>
      </c>
      <c r="K985" s="3" t="s">
        <v>3</v>
      </c>
      <c r="L985" s="3" t="s">
        <v>82</v>
      </c>
      <c r="M985" s="4">
        <v>80900</v>
      </c>
      <c r="N985" s="5">
        <v>3.2</v>
      </c>
      <c r="O985" s="4">
        <f t="shared" si="30"/>
        <v>2588.8000000000002</v>
      </c>
      <c r="P985" s="4">
        <f t="shared" si="31"/>
        <v>78311.199999999997</v>
      </c>
      <c r="Q985" s="3" t="s">
        <v>28</v>
      </c>
      <c r="R985" s="3" t="s">
        <v>68</v>
      </c>
      <c r="S985" s="3" t="s">
        <v>68</v>
      </c>
      <c r="T985" s="3" t="s">
        <v>26</v>
      </c>
    </row>
    <row r="986" spans="1:20" ht="15" customHeight="1" x14ac:dyDescent="0.3">
      <c r="A986" s="3" t="s">
        <v>2754</v>
      </c>
      <c r="B986" s="3" t="s">
        <v>521</v>
      </c>
      <c r="C986" s="3" t="s">
        <v>15</v>
      </c>
      <c r="D986" s="3" t="s">
        <v>2755</v>
      </c>
      <c r="E986" s="3" t="s">
        <v>2756</v>
      </c>
      <c r="F986" s="3" t="s">
        <v>117</v>
      </c>
      <c r="G986" s="3" t="s">
        <v>146</v>
      </c>
      <c r="H986" s="3" t="s">
        <v>18</v>
      </c>
      <c r="I986" s="3">
        <v>110</v>
      </c>
      <c r="J986" s="3" t="s">
        <v>129</v>
      </c>
      <c r="K986" s="3" t="s">
        <v>9</v>
      </c>
      <c r="L986" s="3" t="s">
        <v>103</v>
      </c>
      <c r="M986" s="4">
        <v>74900</v>
      </c>
      <c r="N986" s="5">
        <v>4.5</v>
      </c>
      <c r="O986" s="4">
        <f t="shared" si="30"/>
        <v>3370.5</v>
      </c>
      <c r="P986" s="4">
        <f t="shared" si="31"/>
        <v>71529.5</v>
      </c>
      <c r="Q986" s="3" t="s">
        <v>38</v>
      </c>
      <c r="R986" s="3" t="s">
        <v>67</v>
      </c>
      <c r="S986" s="3" t="s">
        <v>68</v>
      </c>
      <c r="T986" s="3" t="s">
        <v>26</v>
      </c>
    </row>
    <row r="987" spans="1:20" ht="15" customHeight="1" x14ac:dyDescent="0.3">
      <c r="A987" s="3" t="s">
        <v>2757</v>
      </c>
      <c r="B987" s="3" t="s">
        <v>304</v>
      </c>
      <c r="C987" s="3" t="s">
        <v>2</v>
      </c>
      <c r="D987" s="3" t="s">
        <v>665</v>
      </c>
      <c r="E987" s="3" t="s">
        <v>2758</v>
      </c>
      <c r="F987" s="3" t="s">
        <v>117</v>
      </c>
      <c r="G987" s="3" t="s">
        <v>146</v>
      </c>
      <c r="H987" s="3" t="s">
        <v>18</v>
      </c>
      <c r="I987" s="3">
        <v>110</v>
      </c>
      <c r="J987" s="3" t="s">
        <v>81</v>
      </c>
      <c r="K987" s="3" t="s">
        <v>11</v>
      </c>
      <c r="L987" s="3" t="s">
        <v>103</v>
      </c>
      <c r="M987" s="4">
        <v>74900</v>
      </c>
      <c r="N987" s="5">
        <v>9.4</v>
      </c>
      <c r="O987" s="4">
        <f t="shared" si="30"/>
        <v>7040.6</v>
      </c>
      <c r="P987" s="4">
        <f t="shared" si="31"/>
        <v>67859.399999999994</v>
      </c>
      <c r="Q987" s="3" t="s">
        <v>34</v>
      </c>
      <c r="R987" s="3" t="s">
        <v>68</v>
      </c>
      <c r="S987" s="3" t="s">
        <v>67</v>
      </c>
      <c r="T987" s="3" t="s">
        <v>29</v>
      </c>
    </row>
    <row r="988" spans="1:20" ht="15" customHeight="1" x14ac:dyDescent="0.3">
      <c r="A988" s="3" t="s">
        <v>2759</v>
      </c>
      <c r="B988" s="3" t="s">
        <v>376</v>
      </c>
      <c r="C988" s="3" t="s">
        <v>8</v>
      </c>
      <c r="D988" s="3" t="s">
        <v>350</v>
      </c>
      <c r="E988" s="3" t="s">
        <v>2760</v>
      </c>
      <c r="F988" s="3" t="s">
        <v>87</v>
      </c>
      <c r="G988" s="3" t="s">
        <v>316</v>
      </c>
      <c r="H988" s="3" t="s">
        <v>19</v>
      </c>
      <c r="I988" s="3">
        <v>150</v>
      </c>
      <c r="J988" s="3" t="s">
        <v>81</v>
      </c>
      <c r="K988" s="3" t="s">
        <v>7</v>
      </c>
      <c r="L988" s="3" t="s">
        <v>206</v>
      </c>
      <c r="M988" s="4">
        <v>109900</v>
      </c>
      <c r="N988" s="5">
        <v>9.1</v>
      </c>
      <c r="O988" s="4">
        <f t="shared" si="30"/>
        <v>10000.9</v>
      </c>
      <c r="P988" s="4">
        <f t="shared" si="31"/>
        <v>99899.1</v>
      </c>
      <c r="Q988" s="3" t="s">
        <v>31</v>
      </c>
      <c r="R988" s="3" t="s">
        <v>67</v>
      </c>
      <c r="S988" s="3" t="s">
        <v>68</v>
      </c>
      <c r="T988" s="3" t="s">
        <v>26</v>
      </c>
    </row>
    <row r="989" spans="1:20" ht="15" customHeight="1" x14ac:dyDescent="0.3">
      <c r="A989" s="3" t="s">
        <v>2761</v>
      </c>
      <c r="B989" s="3" t="s">
        <v>528</v>
      </c>
      <c r="C989" s="3" t="s">
        <v>12</v>
      </c>
      <c r="D989" s="3" t="s">
        <v>2762</v>
      </c>
      <c r="E989" s="3" t="s">
        <v>2763</v>
      </c>
      <c r="F989" s="3" t="s">
        <v>87</v>
      </c>
      <c r="G989" s="3" t="s">
        <v>80</v>
      </c>
      <c r="H989" s="3" t="s">
        <v>22</v>
      </c>
      <c r="I989" s="3">
        <v>0</v>
      </c>
      <c r="J989" s="3" t="s">
        <v>81</v>
      </c>
      <c r="K989" s="3" t="s">
        <v>9</v>
      </c>
      <c r="L989" s="3" t="s">
        <v>136</v>
      </c>
      <c r="M989" s="4">
        <v>145000</v>
      </c>
      <c r="N989" s="5">
        <v>14.8</v>
      </c>
      <c r="O989" s="4">
        <f t="shared" si="30"/>
        <v>21460</v>
      </c>
      <c r="P989" s="4">
        <f t="shared" si="31"/>
        <v>123540</v>
      </c>
      <c r="Q989" s="3" t="s">
        <v>28</v>
      </c>
      <c r="R989" s="3" t="s">
        <v>67</v>
      </c>
      <c r="S989" s="3" t="s">
        <v>67</v>
      </c>
      <c r="T989" s="3" t="s">
        <v>26</v>
      </c>
    </row>
    <row r="990" spans="1:20" ht="15" customHeight="1" x14ac:dyDescent="0.3">
      <c r="A990" s="3" t="s">
        <v>2764</v>
      </c>
      <c r="B990" s="3" t="s">
        <v>181</v>
      </c>
      <c r="C990" s="3" t="s">
        <v>4</v>
      </c>
      <c r="D990" s="3" t="s">
        <v>883</v>
      </c>
      <c r="E990" s="3" t="s">
        <v>2765</v>
      </c>
      <c r="F990" s="3" t="s">
        <v>134</v>
      </c>
      <c r="G990" s="3" t="s">
        <v>95</v>
      </c>
      <c r="H990" s="3" t="s">
        <v>22</v>
      </c>
      <c r="I990" s="3">
        <v>0</v>
      </c>
      <c r="J990" s="3" t="s">
        <v>96</v>
      </c>
      <c r="K990" s="3" t="s">
        <v>1</v>
      </c>
      <c r="L990" s="3" t="s">
        <v>103</v>
      </c>
      <c r="M990" s="4">
        <v>139999</v>
      </c>
      <c r="N990" s="5">
        <v>4.9000000000000004</v>
      </c>
      <c r="O990" s="4">
        <f t="shared" si="30"/>
        <v>6859.9510000000009</v>
      </c>
      <c r="P990" s="4">
        <f t="shared" si="31"/>
        <v>133139.049</v>
      </c>
      <c r="Q990" s="3" t="s">
        <v>34</v>
      </c>
      <c r="R990" s="3" t="s">
        <v>67</v>
      </c>
      <c r="S990" s="3" t="s">
        <v>68</v>
      </c>
      <c r="T990" s="3" t="s">
        <v>26</v>
      </c>
    </row>
    <row r="991" spans="1:20" ht="15" customHeight="1" x14ac:dyDescent="0.3">
      <c r="A991" s="3" t="s">
        <v>2766</v>
      </c>
      <c r="B991" s="3" t="s">
        <v>253</v>
      </c>
      <c r="C991" s="3" t="s">
        <v>17</v>
      </c>
      <c r="D991" s="3" t="s">
        <v>1634</v>
      </c>
      <c r="E991" s="3" t="s">
        <v>2767</v>
      </c>
      <c r="F991" s="3" t="s">
        <v>117</v>
      </c>
      <c r="G991" s="3" t="s">
        <v>201</v>
      </c>
      <c r="H991" s="3" t="s">
        <v>19</v>
      </c>
      <c r="I991" s="3">
        <v>160</v>
      </c>
      <c r="J991" s="3" t="s">
        <v>164</v>
      </c>
      <c r="K991" s="3" t="s">
        <v>1</v>
      </c>
      <c r="L991" s="3" t="s">
        <v>136</v>
      </c>
      <c r="M991" s="4">
        <v>129900</v>
      </c>
      <c r="N991" s="5">
        <v>10.9</v>
      </c>
      <c r="O991" s="4">
        <f t="shared" si="30"/>
        <v>14159.1</v>
      </c>
      <c r="P991" s="4">
        <f t="shared" si="31"/>
        <v>115740.9</v>
      </c>
      <c r="Q991" s="3" t="s">
        <v>38</v>
      </c>
      <c r="R991" s="3" t="s">
        <v>67</v>
      </c>
      <c r="S991" s="3" t="s">
        <v>67</v>
      </c>
      <c r="T991" s="3" t="s">
        <v>26</v>
      </c>
    </row>
    <row r="992" spans="1:20" ht="15" customHeight="1" x14ac:dyDescent="0.3">
      <c r="A992" s="3" t="s">
        <v>2768</v>
      </c>
      <c r="B992" s="3" t="s">
        <v>92</v>
      </c>
      <c r="C992" s="3" t="s">
        <v>4</v>
      </c>
      <c r="D992" s="3" t="s">
        <v>2769</v>
      </c>
      <c r="E992" s="3" t="s">
        <v>2770</v>
      </c>
      <c r="F992" s="3" t="s">
        <v>112</v>
      </c>
      <c r="G992" s="3" t="s">
        <v>118</v>
      </c>
      <c r="H992" s="3" t="s">
        <v>20</v>
      </c>
      <c r="I992" s="3">
        <v>350</v>
      </c>
      <c r="J992" s="3" t="s">
        <v>102</v>
      </c>
      <c r="K992" s="3" t="s">
        <v>1</v>
      </c>
      <c r="L992" s="3" t="s">
        <v>103</v>
      </c>
      <c r="M992" s="4">
        <v>159900</v>
      </c>
      <c r="N992" s="5">
        <v>14.7</v>
      </c>
      <c r="O992" s="4">
        <f t="shared" si="30"/>
        <v>23505.3</v>
      </c>
      <c r="P992" s="4">
        <f t="shared" si="31"/>
        <v>136394.70000000001</v>
      </c>
      <c r="Q992" s="3" t="s">
        <v>28</v>
      </c>
      <c r="R992" s="3" t="s">
        <v>67</v>
      </c>
      <c r="S992" s="3" t="s">
        <v>67</v>
      </c>
      <c r="T992" s="3" t="s">
        <v>26</v>
      </c>
    </row>
    <row r="993" spans="1:20" ht="15" customHeight="1" x14ac:dyDescent="0.3">
      <c r="A993" s="3" t="s">
        <v>2771</v>
      </c>
      <c r="B993" s="3" t="s">
        <v>84</v>
      </c>
      <c r="C993" s="3" t="s">
        <v>17</v>
      </c>
      <c r="D993" s="3" t="s">
        <v>162</v>
      </c>
      <c r="E993" s="3" t="s">
        <v>2772</v>
      </c>
      <c r="F993" s="3" t="s">
        <v>155</v>
      </c>
      <c r="G993" s="3" t="s">
        <v>80</v>
      </c>
      <c r="H993" s="3" t="s">
        <v>22</v>
      </c>
      <c r="I993" s="3">
        <v>0</v>
      </c>
      <c r="J993" s="3" t="s">
        <v>89</v>
      </c>
      <c r="K993" s="3" t="s">
        <v>1</v>
      </c>
      <c r="L993" s="3" t="s">
        <v>74</v>
      </c>
      <c r="M993" s="4">
        <v>145000</v>
      </c>
      <c r="N993" s="5">
        <v>5.3</v>
      </c>
      <c r="O993" s="4">
        <f t="shared" si="30"/>
        <v>7685</v>
      </c>
      <c r="P993" s="4">
        <f t="shared" si="31"/>
        <v>137315</v>
      </c>
      <c r="Q993" s="3" t="s">
        <v>25</v>
      </c>
      <c r="R993" s="3" t="s">
        <v>67</v>
      </c>
      <c r="S993" s="3" t="s">
        <v>68</v>
      </c>
      <c r="T993" s="3" t="s">
        <v>26</v>
      </c>
    </row>
    <row r="994" spans="1:20" ht="15" customHeight="1" x14ac:dyDescent="0.3">
      <c r="A994" s="3" t="s">
        <v>2773</v>
      </c>
      <c r="B994" s="3" t="s">
        <v>501</v>
      </c>
      <c r="C994" s="3" t="s">
        <v>12</v>
      </c>
      <c r="D994" s="3" t="s">
        <v>838</v>
      </c>
      <c r="E994" s="3" t="s">
        <v>2774</v>
      </c>
      <c r="F994" s="3" t="s">
        <v>112</v>
      </c>
      <c r="G994" s="3" t="s">
        <v>184</v>
      </c>
      <c r="H994" s="3" t="s">
        <v>18</v>
      </c>
      <c r="I994" s="3">
        <v>125</v>
      </c>
      <c r="J994" s="3" t="s">
        <v>81</v>
      </c>
      <c r="K994" s="3" t="s">
        <v>1</v>
      </c>
      <c r="L994" s="3" t="s">
        <v>82</v>
      </c>
      <c r="M994" s="4">
        <v>79900</v>
      </c>
      <c r="N994" s="5">
        <v>8.6999999999999993</v>
      </c>
      <c r="O994" s="4">
        <f t="shared" si="30"/>
        <v>6951.3</v>
      </c>
      <c r="P994" s="4">
        <f t="shared" si="31"/>
        <v>72948.7</v>
      </c>
      <c r="Q994" s="3" t="s">
        <v>25</v>
      </c>
      <c r="R994" s="3" t="s">
        <v>67</v>
      </c>
      <c r="S994" s="3" t="s">
        <v>67</v>
      </c>
      <c r="T994" s="3" t="s">
        <v>26</v>
      </c>
    </row>
    <row r="995" spans="1:20" ht="15" customHeight="1" x14ac:dyDescent="0.3">
      <c r="A995" s="3" t="s">
        <v>2775</v>
      </c>
      <c r="B995" s="3" t="s">
        <v>406</v>
      </c>
      <c r="C995" s="3" t="s">
        <v>17</v>
      </c>
      <c r="D995" s="3" t="s">
        <v>1595</v>
      </c>
      <c r="E995" s="3" t="s">
        <v>2776</v>
      </c>
      <c r="F995" s="3" t="s">
        <v>112</v>
      </c>
      <c r="G995" s="3" t="s">
        <v>211</v>
      </c>
      <c r="H995" s="3" t="s">
        <v>20</v>
      </c>
      <c r="I995" s="3">
        <v>350</v>
      </c>
      <c r="J995" s="3" t="s">
        <v>179</v>
      </c>
      <c r="K995" s="3" t="s">
        <v>7</v>
      </c>
      <c r="L995" s="3" t="s">
        <v>90</v>
      </c>
      <c r="M995" s="4">
        <v>199900</v>
      </c>
      <c r="N995" s="5">
        <v>4.8</v>
      </c>
      <c r="O995" s="4">
        <f t="shared" si="30"/>
        <v>9595.2000000000007</v>
      </c>
      <c r="P995" s="4">
        <f t="shared" si="31"/>
        <v>190304.8</v>
      </c>
      <c r="Q995" s="3" t="s">
        <v>38</v>
      </c>
      <c r="R995" s="3" t="s">
        <v>67</v>
      </c>
      <c r="S995" s="3" t="s">
        <v>68</v>
      </c>
      <c r="T995" s="3" t="s">
        <v>26</v>
      </c>
    </row>
    <row r="996" spans="1:20" ht="15" customHeight="1" x14ac:dyDescent="0.3">
      <c r="A996" s="3" t="s">
        <v>2777</v>
      </c>
      <c r="B996" s="3" t="s">
        <v>924</v>
      </c>
      <c r="C996" s="3" t="s">
        <v>14</v>
      </c>
      <c r="D996" s="3" t="s">
        <v>2352</v>
      </c>
      <c r="E996" s="3" t="s">
        <v>2778</v>
      </c>
      <c r="F996" s="3" t="s">
        <v>174</v>
      </c>
      <c r="G996" s="3" t="s">
        <v>184</v>
      </c>
      <c r="H996" s="3" t="s">
        <v>18</v>
      </c>
      <c r="I996" s="3">
        <v>125</v>
      </c>
      <c r="J996" s="3" t="s">
        <v>89</v>
      </c>
      <c r="K996" s="3" t="s">
        <v>11</v>
      </c>
      <c r="L996" s="3" t="s">
        <v>90</v>
      </c>
      <c r="M996" s="4">
        <v>79900</v>
      </c>
      <c r="N996" s="5">
        <v>11.6</v>
      </c>
      <c r="O996" s="4">
        <f t="shared" si="30"/>
        <v>9268.4</v>
      </c>
      <c r="P996" s="4">
        <f t="shared" si="31"/>
        <v>70631.600000000006</v>
      </c>
      <c r="Q996" s="3" t="s">
        <v>31</v>
      </c>
      <c r="R996" s="3" t="s">
        <v>67</v>
      </c>
      <c r="S996" s="3" t="s">
        <v>68</v>
      </c>
      <c r="T996" s="3" t="s">
        <v>32</v>
      </c>
    </row>
    <row r="997" spans="1:20" ht="15" customHeight="1" x14ac:dyDescent="0.3">
      <c r="A997" s="3" t="s">
        <v>2779</v>
      </c>
      <c r="B997" s="3" t="s">
        <v>60</v>
      </c>
      <c r="C997" s="3" t="s">
        <v>10</v>
      </c>
      <c r="D997" s="3" t="s">
        <v>1540</v>
      </c>
      <c r="E997" s="3" t="s">
        <v>2780</v>
      </c>
      <c r="F997" s="3" t="s">
        <v>63</v>
      </c>
      <c r="G997" s="3" t="s">
        <v>88</v>
      </c>
      <c r="H997" s="3" t="s">
        <v>18</v>
      </c>
      <c r="I997" s="3">
        <v>125</v>
      </c>
      <c r="J997" s="3" t="s">
        <v>164</v>
      </c>
      <c r="K997" s="3" t="s">
        <v>1</v>
      </c>
      <c r="L997" s="3" t="s">
        <v>97</v>
      </c>
      <c r="M997" s="4">
        <v>94900</v>
      </c>
      <c r="N997" s="5">
        <v>7.3</v>
      </c>
      <c r="O997" s="4">
        <f t="shared" si="30"/>
        <v>6927.7</v>
      </c>
      <c r="P997" s="4">
        <f t="shared" si="31"/>
        <v>87972.3</v>
      </c>
      <c r="Q997" s="3" t="s">
        <v>38</v>
      </c>
      <c r="R997" s="3" t="s">
        <v>67</v>
      </c>
      <c r="S997" s="3" t="s">
        <v>67</v>
      </c>
      <c r="T997" s="3" t="s">
        <v>26</v>
      </c>
    </row>
    <row r="998" spans="1:20" ht="15" customHeight="1" x14ac:dyDescent="0.3">
      <c r="A998" s="3" t="s">
        <v>2781</v>
      </c>
      <c r="B998" s="3" t="s">
        <v>683</v>
      </c>
      <c r="C998" s="3" t="s">
        <v>12</v>
      </c>
      <c r="D998" s="3" t="s">
        <v>1203</v>
      </c>
      <c r="E998" s="3" t="s">
        <v>2782</v>
      </c>
      <c r="F998" s="3" t="s">
        <v>112</v>
      </c>
      <c r="G998" s="3" t="s">
        <v>222</v>
      </c>
      <c r="H998" s="3" t="s">
        <v>19</v>
      </c>
      <c r="I998" s="3">
        <v>155</v>
      </c>
      <c r="J998" s="3" t="s">
        <v>243</v>
      </c>
      <c r="K998" s="3" t="s">
        <v>9</v>
      </c>
      <c r="L998" s="3" t="s">
        <v>82</v>
      </c>
      <c r="M998" s="4">
        <v>167900</v>
      </c>
      <c r="N998" s="5">
        <v>13</v>
      </c>
      <c r="O998" s="4">
        <f t="shared" si="30"/>
        <v>21827</v>
      </c>
      <c r="P998" s="4">
        <f t="shared" si="31"/>
        <v>146073</v>
      </c>
      <c r="Q998" s="3" t="s">
        <v>31</v>
      </c>
      <c r="R998" s="3" t="s">
        <v>67</v>
      </c>
      <c r="S998" s="3" t="s">
        <v>67</v>
      </c>
      <c r="T998" s="3" t="s">
        <v>32</v>
      </c>
    </row>
    <row r="999" spans="1:20" ht="15" customHeight="1" x14ac:dyDescent="0.3">
      <c r="A999" s="3" t="s">
        <v>2783</v>
      </c>
      <c r="B999" s="3" t="s">
        <v>318</v>
      </c>
      <c r="C999" s="3" t="s">
        <v>10</v>
      </c>
      <c r="D999" s="3" t="s">
        <v>2784</v>
      </c>
      <c r="E999" s="3" t="s">
        <v>2785</v>
      </c>
      <c r="F999" s="3" t="s">
        <v>117</v>
      </c>
      <c r="G999" s="3" t="s">
        <v>316</v>
      </c>
      <c r="H999" s="3" t="s">
        <v>19</v>
      </c>
      <c r="I999" s="3">
        <v>150</v>
      </c>
      <c r="J999" s="3" t="s">
        <v>119</v>
      </c>
      <c r="K999" s="3" t="s">
        <v>11</v>
      </c>
      <c r="L999" s="3" t="s">
        <v>74</v>
      </c>
      <c r="M999" s="4">
        <v>109900</v>
      </c>
      <c r="N999" s="5">
        <v>12.7</v>
      </c>
      <c r="O999" s="4">
        <f t="shared" si="30"/>
        <v>13957.3</v>
      </c>
      <c r="P999" s="4">
        <f t="shared" si="31"/>
        <v>95942.7</v>
      </c>
      <c r="Q999" s="3" t="s">
        <v>28</v>
      </c>
      <c r="R999" s="3" t="s">
        <v>68</v>
      </c>
      <c r="S999" s="3" t="s">
        <v>68</v>
      </c>
      <c r="T999" s="3" t="s">
        <v>26</v>
      </c>
    </row>
    <row r="1000" spans="1:20" ht="15" customHeight="1" x14ac:dyDescent="0.3">
      <c r="A1000" s="3" t="s">
        <v>2786</v>
      </c>
      <c r="B1000" s="3" t="s">
        <v>176</v>
      </c>
      <c r="C1000" s="3" t="s">
        <v>10</v>
      </c>
      <c r="D1000" s="3" t="s">
        <v>1662</v>
      </c>
      <c r="E1000" s="3" t="s">
        <v>2787</v>
      </c>
      <c r="F1000" s="3" t="s">
        <v>145</v>
      </c>
      <c r="G1000" s="3" t="s">
        <v>95</v>
      </c>
      <c r="H1000" s="3" t="s">
        <v>22</v>
      </c>
      <c r="I1000" s="3">
        <v>0</v>
      </c>
      <c r="J1000" s="3" t="s">
        <v>179</v>
      </c>
      <c r="K1000" s="3" t="s">
        <v>11</v>
      </c>
      <c r="L1000" s="3" t="s">
        <v>103</v>
      </c>
      <c r="M1000" s="4">
        <v>139999</v>
      </c>
      <c r="N1000" s="5">
        <v>10.1</v>
      </c>
      <c r="O1000" s="4">
        <f t="shared" si="30"/>
        <v>14139.898999999999</v>
      </c>
      <c r="P1000" s="4">
        <f t="shared" si="31"/>
        <v>125859.101</v>
      </c>
      <c r="Q1000" s="3" t="s">
        <v>40</v>
      </c>
      <c r="R1000" s="3" t="s">
        <v>68</v>
      </c>
      <c r="S1000" s="3" t="s">
        <v>67</v>
      </c>
      <c r="T1000" s="3" t="s">
        <v>26</v>
      </c>
    </row>
    <row r="1001" spans="1:20" ht="15" customHeight="1" x14ac:dyDescent="0.3">
      <c r="A1001" s="3" t="s">
        <v>2788</v>
      </c>
      <c r="B1001" s="3" t="s">
        <v>148</v>
      </c>
      <c r="C1001" s="3" t="s">
        <v>8</v>
      </c>
      <c r="D1001" s="3" t="s">
        <v>2309</v>
      </c>
      <c r="E1001" s="3" t="s">
        <v>2789</v>
      </c>
      <c r="F1001" s="3" t="s">
        <v>124</v>
      </c>
      <c r="G1001" s="3" t="s">
        <v>88</v>
      </c>
      <c r="H1001" s="3" t="s">
        <v>18</v>
      </c>
      <c r="I1001" s="3">
        <v>125</v>
      </c>
      <c r="J1001" s="3" t="s">
        <v>119</v>
      </c>
      <c r="K1001" s="3" t="s">
        <v>7</v>
      </c>
      <c r="L1001" s="3" t="s">
        <v>206</v>
      </c>
      <c r="M1001" s="4">
        <v>94900</v>
      </c>
      <c r="N1001" s="5">
        <v>8.9</v>
      </c>
      <c r="O1001" s="4">
        <f t="shared" si="30"/>
        <v>8446.1</v>
      </c>
      <c r="P1001" s="4">
        <f t="shared" si="31"/>
        <v>86453.9</v>
      </c>
      <c r="Q1001" s="3" t="s">
        <v>25</v>
      </c>
      <c r="R1001" s="3" t="s">
        <v>67</v>
      </c>
      <c r="S1001" s="3" t="s">
        <v>67</v>
      </c>
      <c r="T1001" s="3" t="s">
        <v>29</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455F-5F0E-4605-AF8D-8F17B7EFB634}">
  <sheetPr>
    <pageSetUpPr autoPageBreaks="0"/>
  </sheetPr>
  <dimension ref="A2:BT86"/>
  <sheetViews>
    <sheetView tabSelected="1" zoomScale="31" zoomScaleNormal="31" workbookViewId="0">
      <selection activeCell="F2" sqref="F2:BT2"/>
    </sheetView>
  </sheetViews>
  <sheetFormatPr defaultRowHeight="14.4" x14ac:dyDescent="0.3"/>
  <sheetData>
    <row r="2" spans="1:72" ht="69" x14ac:dyDescent="1.35">
      <c r="A2" s="32"/>
      <c r="B2" s="33"/>
      <c r="C2" s="33"/>
      <c r="D2" s="33"/>
      <c r="E2" s="33"/>
      <c r="F2" s="31" t="s">
        <v>2807</v>
      </c>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row>
    <row r="5" spans="1:72" x14ac:dyDescent="0.3">
      <c r="AZ5" s="30"/>
    </row>
    <row r="10" spans="1:72" x14ac:dyDescent="0.3">
      <c r="BO10" s="9"/>
    </row>
    <row r="12" spans="1:72" ht="15" thickBot="1" x14ac:dyDescent="0.35"/>
    <row r="13" spans="1:72" ht="15" thickTop="1" x14ac:dyDescent="0.3">
      <c r="E13" s="9"/>
      <c r="F13" s="11"/>
      <c r="G13" s="12"/>
      <c r="H13" s="12"/>
      <c r="I13" s="12"/>
      <c r="J13" s="12"/>
      <c r="K13" s="12"/>
      <c r="L13" s="12"/>
      <c r="M13" s="12"/>
      <c r="N13" s="12"/>
      <c r="O13" s="12"/>
      <c r="P13" s="12"/>
      <c r="Q13" s="13"/>
      <c r="S13" s="20"/>
      <c r="T13" s="21"/>
      <c r="U13" s="21"/>
      <c r="V13" s="21"/>
      <c r="W13" s="21"/>
      <c r="X13" s="21"/>
      <c r="Y13" s="21"/>
      <c r="Z13" s="21"/>
      <c r="AA13" s="21"/>
      <c r="AB13" s="21"/>
      <c r="AC13" s="21"/>
      <c r="AD13" s="22"/>
      <c r="AF13" s="27"/>
      <c r="AG13" s="27"/>
      <c r="AH13" s="27"/>
      <c r="AI13" s="27"/>
      <c r="AJ13" s="27"/>
      <c r="AK13" s="27"/>
      <c r="AL13" s="27"/>
      <c r="AM13" s="27"/>
      <c r="AN13" s="27"/>
      <c r="AO13" s="27"/>
      <c r="AP13" s="27"/>
      <c r="AQ13" s="27"/>
      <c r="AS13" s="27"/>
      <c r="AT13" s="27"/>
      <c r="AU13" s="27"/>
      <c r="AV13" s="27"/>
      <c r="AW13" s="27"/>
      <c r="AX13" s="27"/>
      <c r="AY13" s="27"/>
      <c r="AZ13" s="27"/>
      <c r="BA13" s="27"/>
      <c r="BB13" s="27"/>
      <c r="BC13" s="27"/>
      <c r="BI13" s="29"/>
      <c r="BJ13" s="29"/>
      <c r="BK13" s="29"/>
      <c r="BL13" s="29"/>
      <c r="BM13" s="29"/>
      <c r="BO13" s="29"/>
      <c r="BP13" s="29"/>
      <c r="BQ13" s="29"/>
      <c r="BR13" s="29"/>
      <c r="BS13" s="29"/>
    </row>
    <row r="14" spans="1:72" x14ac:dyDescent="0.3">
      <c r="E14" s="9"/>
      <c r="F14" s="14"/>
      <c r="G14" s="15"/>
      <c r="H14" s="15"/>
      <c r="I14" s="15"/>
      <c r="J14" s="15"/>
      <c r="K14" s="15"/>
      <c r="L14" s="15"/>
      <c r="M14" s="15"/>
      <c r="N14" s="15"/>
      <c r="O14" s="15"/>
      <c r="P14" s="15"/>
      <c r="Q14" s="16"/>
      <c r="S14" s="14"/>
      <c r="T14" s="15"/>
      <c r="U14" s="15"/>
      <c r="V14" s="15"/>
      <c r="W14" s="15"/>
      <c r="X14" s="15"/>
      <c r="Y14" s="15"/>
      <c r="Z14" s="15"/>
      <c r="AA14" s="15"/>
      <c r="AB14" s="15"/>
      <c r="AC14" s="15"/>
      <c r="AD14" s="23"/>
      <c r="AF14" s="27"/>
      <c r="AG14" s="27"/>
      <c r="AH14" s="27"/>
      <c r="AI14" s="27"/>
      <c r="AJ14" s="27"/>
      <c r="AK14" s="27"/>
      <c r="AL14" s="27"/>
      <c r="AM14" s="27"/>
      <c r="AN14" s="27"/>
      <c r="AO14" s="27"/>
      <c r="AP14" s="27"/>
      <c r="AQ14" s="27"/>
      <c r="AS14" s="27"/>
      <c r="AT14" s="27"/>
      <c r="AU14" s="27"/>
      <c r="AV14" s="27"/>
      <c r="AW14" s="27"/>
      <c r="AX14" s="27"/>
      <c r="AY14" s="27"/>
      <c r="AZ14" s="27"/>
      <c r="BA14" s="27"/>
      <c r="BB14" s="27"/>
      <c r="BC14" s="27"/>
      <c r="BI14" s="29"/>
      <c r="BJ14" s="29"/>
      <c r="BK14" s="29"/>
      <c r="BL14" s="29"/>
      <c r="BM14" s="29"/>
      <c r="BO14" s="29"/>
      <c r="BP14" s="29"/>
      <c r="BQ14" s="29"/>
      <c r="BR14" s="29"/>
      <c r="BS14" s="29"/>
    </row>
    <row r="15" spans="1:72" x14ac:dyDescent="0.3">
      <c r="F15" s="14"/>
      <c r="G15" s="15"/>
      <c r="H15" s="15"/>
      <c r="I15" s="15"/>
      <c r="J15" s="15"/>
      <c r="K15" s="15"/>
      <c r="L15" s="15"/>
      <c r="M15" s="15"/>
      <c r="N15" s="15"/>
      <c r="O15" s="15"/>
      <c r="P15" s="15"/>
      <c r="Q15" s="16"/>
      <c r="S15" s="14"/>
      <c r="T15" s="15"/>
      <c r="U15" s="15"/>
      <c r="V15" s="15"/>
      <c r="W15" s="15"/>
      <c r="X15" s="15"/>
      <c r="Y15" s="15"/>
      <c r="Z15" s="15"/>
      <c r="AA15" s="15"/>
      <c r="AB15" s="15"/>
      <c r="AC15" s="15"/>
      <c r="AD15" s="23"/>
      <c r="AF15" s="27"/>
      <c r="AG15" s="27"/>
      <c r="AH15" s="27"/>
      <c r="AI15" s="27"/>
      <c r="AJ15" s="27"/>
      <c r="AK15" s="27"/>
      <c r="AL15" s="27"/>
      <c r="AM15" s="27"/>
      <c r="AN15" s="27"/>
      <c r="AO15" s="27"/>
      <c r="AP15" s="27"/>
      <c r="AQ15" s="27"/>
      <c r="AS15" s="27"/>
      <c r="AT15" s="27"/>
      <c r="AU15" s="27"/>
      <c r="AV15" s="27"/>
      <c r="AW15" s="27"/>
      <c r="AX15" s="27"/>
      <c r="AY15" s="27"/>
      <c r="AZ15" s="27"/>
      <c r="BA15" s="27"/>
      <c r="BB15" s="27"/>
      <c r="BC15" s="27"/>
      <c r="BI15" s="29"/>
      <c r="BJ15" s="29"/>
      <c r="BK15" s="29"/>
      <c r="BL15" s="29"/>
      <c r="BM15" s="29"/>
      <c r="BO15" s="29"/>
      <c r="BP15" s="29"/>
      <c r="BQ15" s="29"/>
      <c r="BR15" s="29"/>
      <c r="BS15" s="29"/>
    </row>
    <row r="16" spans="1:72" x14ac:dyDescent="0.3">
      <c r="F16" s="14"/>
      <c r="G16" s="15"/>
      <c r="H16" s="15"/>
      <c r="I16" s="15"/>
      <c r="J16" s="15"/>
      <c r="K16" s="15"/>
      <c r="L16" s="15"/>
      <c r="M16" s="15"/>
      <c r="N16" s="15"/>
      <c r="O16" s="15"/>
      <c r="P16" s="15"/>
      <c r="Q16" s="16"/>
      <c r="S16" s="14"/>
      <c r="T16" s="15"/>
      <c r="U16" s="15"/>
      <c r="V16" s="15"/>
      <c r="W16" s="15"/>
      <c r="X16" s="15"/>
      <c r="Y16" s="15"/>
      <c r="Z16" s="15"/>
      <c r="AA16" s="15"/>
      <c r="AB16" s="15"/>
      <c r="AC16" s="15"/>
      <c r="AD16" s="23"/>
      <c r="AF16" s="27"/>
      <c r="AG16" s="27"/>
      <c r="AH16" s="27"/>
      <c r="AI16" s="27"/>
      <c r="AJ16" s="27"/>
      <c r="AK16" s="27"/>
      <c r="AL16" s="27"/>
      <c r="AM16" s="27"/>
      <c r="AN16" s="27"/>
      <c r="AO16" s="27"/>
      <c r="AP16" s="27"/>
      <c r="AQ16" s="27"/>
      <c r="AS16" s="27"/>
      <c r="AT16" s="27"/>
      <c r="AU16" s="27"/>
      <c r="AV16" s="27"/>
      <c r="AW16" s="27"/>
      <c r="AX16" s="27"/>
      <c r="AY16" s="27"/>
      <c r="AZ16" s="27"/>
      <c r="BA16" s="27"/>
      <c r="BB16" s="27"/>
      <c r="BC16" s="27"/>
      <c r="BI16" s="29"/>
      <c r="BJ16" s="29"/>
      <c r="BK16" s="29"/>
      <c r="BL16" s="29"/>
      <c r="BM16" s="29"/>
      <c r="BO16" s="29"/>
      <c r="BP16" s="29"/>
      <c r="BQ16" s="29"/>
      <c r="BR16" s="29"/>
      <c r="BS16" s="29"/>
    </row>
    <row r="17" spans="6:71" x14ac:dyDescent="0.3">
      <c r="F17" s="14"/>
      <c r="G17" s="15"/>
      <c r="H17" s="15"/>
      <c r="I17" s="15"/>
      <c r="J17" s="15"/>
      <c r="K17" s="15"/>
      <c r="L17" s="15"/>
      <c r="M17" s="15"/>
      <c r="N17" s="15"/>
      <c r="O17" s="15"/>
      <c r="P17" s="15"/>
      <c r="Q17" s="16"/>
      <c r="S17" s="14"/>
      <c r="T17" s="15"/>
      <c r="U17" s="15"/>
      <c r="V17" s="15"/>
      <c r="W17" s="15"/>
      <c r="X17" s="15"/>
      <c r="Y17" s="15"/>
      <c r="Z17" s="15"/>
      <c r="AA17" s="15"/>
      <c r="AB17" s="15"/>
      <c r="AC17" s="15"/>
      <c r="AD17" s="23"/>
      <c r="AF17" s="27"/>
      <c r="AG17" s="27"/>
      <c r="AH17" s="27"/>
      <c r="AI17" s="27"/>
      <c r="AJ17" s="27"/>
      <c r="AK17" s="27"/>
      <c r="AL17" s="27"/>
      <c r="AM17" s="27"/>
      <c r="AN17" s="27"/>
      <c r="AO17" s="27"/>
      <c r="AP17" s="27"/>
      <c r="AQ17" s="27"/>
      <c r="AS17" s="27"/>
      <c r="AT17" s="27"/>
      <c r="AU17" s="27"/>
      <c r="AV17" s="27"/>
      <c r="AW17" s="27"/>
      <c r="AX17" s="27"/>
      <c r="AY17" s="27"/>
      <c r="AZ17" s="27"/>
      <c r="BA17" s="27"/>
      <c r="BB17" s="27"/>
      <c r="BC17" s="27"/>
      <c r="BI17" s="29"/>
      <c r="BJ17" s="29"/>
      <c r="BK17" s="29"/>
      <c r="BL17" s="29"/>
      <c r="BM17" s="29"/>
      <c r="BO17" s="29"/>
      <c r="BP17" s="29"/>
      <c r="BQ17" s="29"/>
      <c r="BR17" s="29"/>
      <c r="BS17" s="29"/>
    </row>
    <row r="18" spans="6:71" x14ac:dyDescent="0.3">
      <c r="F18" s="14"/>
      <c r="G18" s="15"/>
      <c r="H18" s="15"/>
      <c r="I18" s="15"/>
      <c r="J18" s="15"/>
      <c r="K18" s="15"/>
      <c r="L18" s="15"/>
      <c r="M18" s="15"/>
      <c r="N18" s="15"/>
      <c r="O18" s="15"/>
      <c r="P18" s="15"/>
      <c r="Q18" s="16"/>
      <c r="R18" s="10"/>
      <c r="S18" s="14"/>
      <c r="T18" s="15"/>
      <c r="U18" s="15"/>
      <c r="V18" s="15"/>
      <c r="W18" s="15"/>
      <c r="X18" s="15"/>
      <c r="Y18" s="15"/>
      <c r="Z18" s="15"/>
      <c r="AA18" s="15"/>
      <c r="AB18" s="15"/>
      <c r="AC18" s="15"/>
      <c r="AD18" s="23"/>
      <c r="AF18" s="27"/>
      <c r="AG18" s="27"/>
      <c r="AH18" s="27"/>
      <c r="AI18" s="27"/>
      <c r="AJ18" s="27"/>
      <c r="AK18" s="27"/>
      <c r="AL18" s="27"/>
      <c r="AM18" s="27"/>
      <c r="AN18" s="27"/>
      <c r="AO18" s="27"/>
      <c r="AP18" s="27"/>
      <c r="AQ18" s="27"/>
      <c r="AS18" s="27"/>
      <c r="AT18" s="27"/>
      <c r="AU18" s="27"/>
      <c r="AV18" s="27"/>
      <c r="AW18" s="27"/>
      <c r="AX18" s="27"/>
      <c r="AY18" s="27"/>
      <c r="AZ18" s="27"/>
      <c r="BA18" s="27"/>
      <c r="BB18" s="27"/>
      <c r="BC18" s="27"/>
      <c r="BI18" s="29"/>
      <c r="BJ18" s="29"/>
      <c r="BK18" s="29"/>
      <c r="BL18" s="29"/>
      <c r="BM18" s="29"/>
      <c r="BO18" s="29"/>
      <c r="BP18" s="29"/>
      <c r="BQ18" s="29"/>
      <c r="BR18" s="29"/>
      <c r="BS18" s="29"/>
    </row>
    <row r="19" spans="6:71" x14ac:dyDescent="0.3">
      <c r="F19" s="14"/>
      <c r="G19" s="15"/>
      <c r="H19" s="15"/>
      <c r="I19" s="15"/>
      <c r="J19" s="15"/>
      <c r="K19" s="15"/>
      <c r="L19" s="15"/>
      <c r="M19" s="15"/>
      <c r="N19" s="15"/>
      <c r="O19" s="15"/>
      <c r="P19" s="15"/>
      <c r="Q19" s="16"/>
      <c r="R19" s="10"/>
      <c r="S19" s="14"/>
      <c r="T19" s="15"/>
      <c r="U19" s="15"/>
      <c r="V19" s="15"/>
      <c r="W19" s="15"/>
      <c r="X19" s="15"/>
      <c r="Y19" s="15"/>
      <c r="Z19" s="15"/>
      <c r="AA19" s="15"/>
      <c r="AB19" s="15"/>
      <c r="AC19" s="15"/>
      <c r="AD19" s="23"/>
      <c r="AF19" s="27"/>
      <c r="AG19" s="27"/>
      <c r="AH19" s="27"/>
      <c r="AI19" s="27"/>
      <c r="AJ19" s="27"/>
      <c r="AK19" s="27"/>
      <c r="AL19" s="27"/>
      <c r="AM19" s="27"/>
      <c r="AN19" s="27"/>
      <c r="AO19" s="27"/>
      <c r="AP19" s="27"/>
      <c r="AQ19" s="27"/>
      <c r="AS19" s="27"/>
      <c r="AT19" s="27"/>
      <c r="AU19" s="27"/>
      <c r="AV19" s="27"/>
      <c r="AW19" s="27"/>
      <c r="AX19" s="27"/>
      <c r="AY19" s="27"/>
      <c r="AZ19" s="27"/>
      <c r="BA19" s="27"/>
      <c r="BB19" s="27"/>
      <c r="BC19" s="27"/>
      <c r="BI19" s="29"/>
      <c r="BJ19" s="29"/>
      <c r="BK19" s="29"/>
      <c r="BL19" s="29"/>
      <c r="BM19" s="29"/>
      <c r="BO19" s="29"/>
      <c r="BP19" s="29"/>
      <c r="BQ19" s="29"/>
      <c r="BR19" s="29"/>
      <c r="BS19" s="29"/>
    </row>
    <row r="20" spans="6:71" x14ac:dyDescent="0.3">
      <c r="F20" s="14"/>
      <c r="G20" s="15"/>
      <c r="H20" s="15"/>
      <c r="I20" s="15"/>
      <c r="J20" s="15"/>
      <c r="K20" s="15"/>
      <c r="L20" s="15"/>
      <c r="M20" s="15"/>
      <c r="N20" s="15"/>
      <c r="O20" s="15"/>
      <c r="P20" s="15"/>
      <c r="Q20" s="16"/>
      <c r="R20" s="10"/>
      <c r="S20" s="14"/>
      <c r="T20" s="15"/>
      <c r="U20" s="15"/>
      <c r="V20" s="15"/>
      <c r="W20" s="15"/>
      <c r="X20" s="15"/>
      <c r="Y20" s="15"/>
      <c r="Z20" s="15"/>
      <c r="AA20" s="15"/>
      <c r="AB20" s="15"/>
      <c r="AC20" s="15"/>
      <c r="AD20" s="23"/>
      <c r="AF20" s="27"/>
      <c r="AG20" s="27"/>
      <c r="AH20" s="27"/>
      <c r="AI20" s="27"/>
      <c r="AJ20" s="27"/>
      <c r="AK20" s="27"/>
      <c r="AL20" s="27"/>
      <c r="AM20" s="27"/>
      <c r="AN20" s="27"/>
      <c r="AO20" s="27"/>
      <c r="AP20" s="27"/>
      <c r="AQ20" s="27"/>
      <c r="AS20" s="27"/>
      <c r="AT20" s="27"/>
      <c r="AU20" s="27"/>
      <c r="AV20" s="27"/>
      <c r="AW20" s="27"/>
      <c r="AX20" s="27"/>
      <c r="AY20" s="27"/>
      <c r="AZ20" s="27"/>
      <c r="BA20" s="27"/>
      <c r="BB20" s="27"/>
      <c r="BC20" s="27"/>
    </row>
    <row r="21" spans="6:71" x14ac:dyDescent="0.3">
      <c r="F21" s="14"/>
      <c r="G21" s="15"/>
      <c r="H21" s="15"/>
      <c r="I21" s="15"/>
      <c r="J21" s="15"/>
      <c r="K21" s="15"/>
      <c r="L21" s="15"/>
      <c r="M21" s="15"/>
      <c r="N21" s="15"/>
      <c r="O21" s="15"/>
      <c r="P21" s="15"/>
      <c r="Q21" s="16"/>
      <c r="S21" s="14"/>
      <c r="T21" s="15"/>
      <c r="U21" s="15"/>
      <c r="V21" s="15"/>
      <c r="W21" s="15"/>
      <c r="X21" s="15"/>
      <c r="Y21" s="15"/>
      <c r="Z21" s="15"/>
      <c r="AA21" s="15"/>
      <c r="AB21" s="15"/>
      <c r="AC21" s="15"/>
      <c r="AD21" s="23"/>
      <c r="AF21" s="27"/>
      <c r="AG21" s="27"/>
      <c r="AH21" s="27"/>
      <c r="AI21" s="27"/>
      <c r="AJ21" s="27"/>
      <c r="AK21" s="27"/>
      <c r="AL21" s="27"/>
      <c r="AM21" s="27"/>
      <c r="AN21" s="27"/>
      <c r="AO21" s="27"/>
      <c r="AP21" s="27"/>
      <c r="AQ21" s="27"/>
      <c r="AS21" s="27"/>
      <c r="AT21" s="27"/>
      <c r="AU21" s="27"/>
      <c r="AV21" s="27"/>
      <c r="AW21" s="27"/>
      <c r="AX21" s="27"/>
      <c r="AY21" s="27"/>
      <c r="AZ21" s="27"/>
      <c r="BA21" s="27"/>
      <c r="BB21" s="27"/>
      <c r="BC21" s="27"/>
    </row>
    <row r="22" spans="6:71" x14ac:dyDescent="0.3">
      <c r="F22" s="14"/>
      <c r="G22" s="15"/>
      <c r="H22" s="15"/>
      <c r="I22" s="15"/>
      <c r="J22" s="15"/>
      <c r="K22" s="15"/>
      <c r="L22" s="15"/>
      <c r="M22" s="15"/>
      <c r="N22" s="15"/>
      <c r="O22" s="15"/>
      <c r="P22" s="15"/>
      <c r="Q22" s="16"/>
      <c r="R22" s="10"/>
      <c r="S22" s="14"/>
      <c r="T22" s="15"/>
      <c r="U22" s="15"/>
      <c r="V22" s="15"/>
      <c r="W22" s="15"/>
      <c r="X22" s="15"/>
      <c r="Y22" s="15"/>
      <c r="Z22" s="15"/>
      <c r="AA22" s="15"/>
      <c r="AB22" s="15"/>
      <c r="AC22" s="15"/>
      <c r="AD22" s="23"/>
      <c r="AF22" s="27"/>
      <c r="AG22" s="27"/>
      <c r="AH22" s="27"/>
      <c r="AI22" s="27"/>
      <c r="AJ22" s="27"/>
      <c r="AK22" s="27"/>
      <c r="AL22" s="27"/>
      <c r="AM22" s="27"/>
      <c r="AN22" s="27"/>
      <c r="AO22" s="27"/>
      <c r="AP22" s="27"/>
      <c r="AQ22" s="27"/>
      <c r="AS22" s="27"/>
      <c r="AT22" s="27"/>
      <c r="AU22" s="27"/>
      <c r="AV22" s="27"/>
      <c r="AW22" s="27"/>
      <c r="AX22" s="27"/>
      <c r="AY22" s="27"/>
      <c r="AZ22" s="27"/>
      <c r="BA22" s="27"/>
      <c r="BB22" s="27"/>
      <c r="BC22" s="27"/>
    </row>
    <row r="23" spans="6:71" x14ac:dyDescent="0.3">
      <c r="F23" s="14"/>
      <c r="G23" s="15"/>
      <c r="H23" s="15"/>
      <c r="I23" s="15"/>
      <c r="J23" s="15"/>
      <c r="K23" s="15"/>
      <c r="L23" s="15"/>
      <c r="M23" s="15"/>
      <c r="N23" s="15"/>
      <c r="O23" s="15"/>
      <c r="P23" s="15"/>
      <c r="Q23" s="16"/>
      <c r="R23" s="10"/>
      <c r="S23" s="14"/>
      <c r="T23" s="15"/>
      <c r="U23" s="15"/>
      <c r="V23" s="15"/>
      <c r="W23" s="15"/>
      <c r="X23" s="15"/>
      <c r="Y23" s="15"/>
      <c r="Z23" s="15"/>
      <c r="AA23" s="15"/>
      <c r="AB23" s="15"/>
      <c r="AC23" s="15"/>
      <c r="AD23" s="23"/>
      <c r="AF23" s="27"/>
      <c r="AG23" s="27"/>
      <c r="AH23" s="27"/>
      <c r="AI23" s="27"/>
      <c r="AJ23" s="27"/>
      <c r="AK23" s="27"/>
      <c r="AL23" s="27"/>
      <c r="AM23" s="27"/>
      <c r="AN23" s="27"/>
      <c r="AO23" s="27"/>
      <c r="AP23" s="27"/>
      <c r="AQ23" s="27"/>
      <c r="AS23" s="27"/>
      <c r="AT23" s="27"/>
      <c r="AU23" s="27"/>
      <c r="AV23" s="27"/>
      <c r="AW23" s="27"/>
      <c r="AX23" s="27"/>
      <c r="AY23" s="27"/>
      <c r="AZ23" s="27"/>
      <c r="BA23" s="27"/>
      <c r="BB23" s="27"/>
      <c r="BC23" s="27"/>
      <c r="BI23" s="29"/>
      <c r="BJ23" s="29"/>
      <c r="BK23" s="29"/>
      <c r="BL23" s="29"/>
      <c r="BM23" s="29"/>
      <c r="BO23" s="29"/>
      <c r="BP23" s="29"/>
      <c r="BQ23" s="29"/>
      <c r="BR23" s="29"/>
      <c r="BS23" s="29"/>
    </row>
    <row r="24" spans="6:71" x14ac:dyDescent="0.3">
      <c r="F24" s="14"/>
      <c r="G24" s="15"/>
      <c r="H24" s="15"/>
      <c r="I24" s="15"/>
      <c r="J24" s="15"/>
      <c r="K24" s="15"/>
      <c r="L24" s="15"/>
      <c r="M24" s="15"/>
      <c r="N24" s="15"/>
      <c r="O24" s="15"/>
      <c r="P24" s="15"/>
      <c r="Q24" s="16"/>
      <c r="R24" s="10"/>
      <c r="S24" s="14"/>
      <c r="T24" s="15"/>
      <c r="U24" s="15"/>
      <c r="V24" s="15"/>
      <c r="W24" s="15"/>
      <c r="X24" s="15"/>
      <c r="Y24" s="15"/>
      <c r="Z24" s="15"/>
      <c r="AA24" s="15"/>
      <c r="AB24" s="15"/>
      <c r="AC24" s="15"/>
      <c r="AD24" s="23"/>
      <c r="AF24" s="27"/>
      <c r="AG24" s="27"/>
      <c r="AH24" s="27"/>
      <c r="AI24" s="27"/>
      <c r="AJ24" s="27"/>
      <c r="AK24" s="27"/>
      <c r="AL24" s="27"/>
      <c r="AM24" s="27"/>
      <c r="AN24" s="27"/>
      <c r="AO24" s="27"/>
      <c r="AP24" s="27"/>
      <c r="AQ24" s="27"/>
      <c r="AS24" s="27"/>
      <c r="AT24" s="27"/>
      <c r="AU24" s="27"/>
      <c r="AV24" s="27"/>
      <c r="AW24" s="27"/>
      <c r="AX24" s="27"/>
      <c r="AY24" s="27"/>
      <c r="AZ24" s="27"/>
      <c r="BA24" s="27"/>
      <c r="BB24" s="27"/>
      <c r="BC24" s="27"/>
      <c r="BI24" s="29"/>
      <c r="BJ24" s="29"/>
      <c r="BK24" s="29"/>
      <c r="BL24" s="29"/>
      <c r="BM24" s="29"/>
      <c r="BO24" s="29"/>
      <c r="BP24" s="29"/>
      <c r="BQ24" s="29"/>
      <c r="BR24" s="29"/>
      <c r="BS24" s="29"/>
    </row>
    <row r="25" spans="6:71" x14ac:dyDescent="0.3">
      <c r="F25" s="14"/>
      <c r="G25" s="15"/>
      <c r="H25" s="15"/>
      <c r="I25" s="15"/>
      <c r="J25" s="15"/>
      <c r="K25" s="15"/>
      <c r="L25" s="15"/>
      <c r="M25" s="15"/>
      <c r="N25" s="15"/>
      <c r="O25" s="15"/>
      <c r="P25" s="15"/>
      <c r="Q25" s="16"/>
      <c r="S25" s="14"/>
      <c r="T25" s="15"/>
      <c r="U25" s="15"/>
      <c r="V25" s="15"/>
      <c r="W25" s="15"/>
      <c r="X25" s="15"/>
      <c r="Y25" s="15"/>
      <c r="Z25" s="15"/>
      <c r="AA25" s="15"/>
      <c r="AB25" s="15"/>
      <c r="AC25" s="15"/>
      <c r="AD25" s="23"/>
      <c r="AF25" s="27"/>
      <c r="AG25" s="27"/>
      <c r="AH25" s="27"/>
      <c r="AI25" s="27"/>
      <c r="AJ25" s="27"/>
      <c r="AK25" s="27"/>
      <c r="AL25" s="27"/>
      <c r="AM25" s="27"/>
      <c r="AN25" s="27"/>
      <c r="AO25" s="27"/>
      <c r="AP25" s="27"/>
      <c r="AQ25" s="27"/>
      <c r="AS25" s="27"/>
      <c r="AT25" s="27"/>
      <c r="AU25" s="27"/>
      <c r="AV25" s="27"/>
      <c r="AW25" s="27"/>
      <c r="AX25" s="27"/>
      <c r="AY25" s="27"/>
      <c r="AZ25" s="27"/>
      <c r="BA25" s="27"/>
      <c r="BB25" s="27"/>
      <c r="BC25" s="27"/>
      <c r="BI25" s="29"/>
      <c r="BJ25" s="29"/>
      <c r="BK25" s="29"/>
      <c r="BL25" s="29"/>
      <c r="BM25" s="29"/>
      <c r="BO25" s="29"/>
      <c r="BP25" s="29"/>
      <c r="BQ25" s="29"/>
      <c r="BR25" s="29"/>
      <c r="BS25" s="29"/>
    </row>
    <row r="26" spans="6:71" x14ac:dyDescent="0.3">
      <c r="F26" s="14"/>
      <c r="G26" s="15"/>
      <c r="H26" s="15"/>
      <c r="I26" s="15"/>
      <c r="J26" s="15"/>
      <c r="K26" s="15"/>
      <c r="L26" s="15"/>
      <c r="M26" s="15"/>
      <c r="N26" s="15"/>
      <c r="O26" s="15"/>
      <c r="P26" s="15"/>
      <c r="Q26" s="16"/>
      <c r="S26" s="14"/>
      <c r="T26" s="15"/>
      <c r="U26" s="15"/>
      <c r="V26" s="15"/>
      <c r="W26" s="15"/>
      <c r="X26" s="15"/>
      <c r="Y26" s="15"/>
      <c r="Z26" s="15"/>
      <c r="AA26" s="15"/>
      <c r="AB26" s="15"/>
      <c r="AC26" s="15"/>
      <c r="AD26" s="23"/>
      <c r="AF26" s="27"/>
      <c r="AG26" s="27"/>
      <c r="AH26" s="27"/>
      <c r="AI26" s="27"/>
      <c r="AJ26" s="27"/>
      <c r="AK26" s="27"/>
      <c r="AL26" s="27"/>
      <c r="AM26" s="27"/>
      <c r="AN26" s="27"/>
      <c r="AO26" s="27"/>
      <c r="AP26" s="27"/>
      <c r="AQ26" s="27"/>
      <c r="AS26" s="27"/>
      <c r="AT26" s="27"/>
      <c r="AU26" s="27"/>
      <c r="AV26" s="27"/>
      <c r="AW26" s="27"/>
      <c r="AX26" s="27"/>
      <c r="AY26" s="27"/>
      <c r="AZ26" s="27"/>
      <c r="BA26" s="27"/>
      <c r="BB26" s="27"/>
      <c r="BC26" s="27"/>
      <c r="BI26" s="29"/>
      <c r="BJ26" s="29"/>
      <c r="BK26" s="29"/>
      <c r="BL26" s="29"/>
      <c r="BM26" s="29"/>
      <c r="BO26" s="29"/>
      <c r="BP26" s="29"/>
      <c r="BQ26" s="29"/>
      <c r="BR26" s="29"/>
      <c r="BS26" s="29"/>
    </row>
    <row r="27" spans="6:71" x14ac:dyDescent="0.3">
      <c r="F27" s="14"/>
      <c r="G27" s="15"/>
      <c r="H27" s="15"/>
      <c r="I27" s="15"/>
      <c r="J27" s="15"/>
      <c r="K27" s="15"/>
      <c r="L27" s="15"/>
      <c r="M27" s="15"/>
      <c r="N27" s="15"/>
      <c r="O27" s="15"/>
      <c r="P27" s="15"/>
      <c r="Q27" s="16"/>
      <c r="R27" s="9"/>
      <c r="S27" s="14"/>
      <c r="T27" s="15"/>
      <c r="U27" s="15"/>
      <c r="V27" s="15"/>
      <c r="W27" s="15"/>
      <c r="X27" s="15"/>
      <c r="Y27" s="15"/>
      <c r="Z27" s="15"/>
      <c r="AA27" s="15"/>
      <c r="AB27" s="15"/>
      <c r="AC27" s="15"/>
      <c r="AD27" s="23"/>
      <c r="AF27" s="27"/>
      <c r="AG27" s="27"/>
      <c r="AH27" s="27"/>
      <c r="AI27" s="27"/>
      <c r="AJ27" s="27"/>
      <c r="AK27" s="27"/>
      <c r="AL27" s="27"/>
      <c r="AM27" s="27"/>
      <c r="AN27" s="27"/>
      <c r="AO27" s="27"/>
      <c r="AP27" s="27"/>
      <c r="AQ27" s="27"/>
      <c r="AS27" s="27"/>
      <c r="AT27" s="27"/>
      <c r="AU27" s="27"/>
      <c r="AV27" s="27"/>
      <c r="AW27" s="27"/>
      <c r="AX27" s="27"/>
      <c r="AY27" s="27"/>
      <c r="AZ27" s="27"/>
      <c r="BA27" s="27"/>
      <c r="BB27" s="27"/>
      <c r="BC27" s="27"/>
      <c r="BI27" s="29"/>
      <c r="BJ27" s="29"/>
      <c r="BK27" s="29"/>
      <c r="BL27" s="29"/>
      <c r="BM27" s="29"/>
      <c r="BO27" s="29"/>
      <c r="BP27" s="29"/>
      <c r="BQ27" s="29"/>
      <c r="BR27" s="29"/>
      <c r="BS27" s="29"/>
    </row>
    <row r="28" spans="6:71" x14ac:dyDescent="0.3">
      <c r="F28" s="14"/>
      <c r="G28" s="15"/>
      <c r="H28" s="15"/>
      <c r="I28" s="15"/>
      <c r="J28" s="15"/>
      <c r="K28" s="15"/>
      <c r="L28" s="15"/>
      <c r="M28" s="15"/>
      <c r="N28" s="15"/>
      <c r="O28" s="15"/>
      <c r="P28" s="15"/>
      <c r="Q28" s="16"/>
      <c r="S28" s="14"/>
      <c r="T28" s="15"/>
      <c r="U28" s="15"/>
      <c r="V28" s="15"/>
      <c r="W28" s="15"/>
      <c r="X28" s="15"/>
      <c r="Y28" s="15"/>
      <c r="Z28" s="15"/>
      <c r="AA28" s="15"/>
      <c r="AB28" s="15"/>
      <c r="AC28" s="15"/>
      <c r="AD28" s="23"/>
      <c r="AF28" s="27"/>
      <c r="AG28" s="27"/>
      <c r="AH28" s="27"/>
      <c r="AI28" s="27"/>
      <c r="AJ28" s="27"/>
      <c r="AK28" s="27"/>
      <c r="AL28" s="27"/>
      <c r="AM28" s="27"/>
      <c r="AN28" s="27"/>
      <c r="AO28" s="27"/>
      <c r="AP28" s="27"/>
      <c r="AQ28" s="27"/>
      <c r="AS28" s="27"/>
      <c r="AT28" s="27"/>
      <c r="AU28" s="27"/>
      <c r="AV28" s="27"/>
      <c r="AW28" s="27"/>
      <c r="AX28" s="27"/>
      <c r="AY28" s="27"/>
      <c r="AZ28" s="27"/>
      <c r="BA28" s="27"/>
      <c r="BB28" s="27"/>
      <c r="BC28" s="27"/>
      <c r="BI28" s="29"/>
      <c r="BJ28" s="29"/>
      <c r="BK28" s="29"/>
      <c r="BL28" s="29"/>
      <c r="BM28" s="29"/>
      <c r="BO28" s="29"/>
      <c r="BP28" s="29"/>
      <c r="BQ28" s="29"/>
      <c r="BR28" s="29"/>
      <c r="BS28" s="29"/>
    </row>
    <row r="29" spans="6:71" x14ac:dyDescent="0.3">
      <c r="F29" s="14"/>
      <c r="G29" s="15"/>
      <c r="H29" s="15"/>
      <c r="I29" s="15"/>
      <c r="J29" s="15"/>
      <c r="K29" s="15"/>
      <c r="L29" s="15"/>
      <c r="M29" s="15"/>
      <c r="N29" s="15"/>
      <c r="O29" s="15"/>
      <c r="P29" s="15"/>
      <c r="Q29" s="16"/>
      <c r="R29" s="9"/>
      <c r="S29" s="14"/>
      <c r="T29" s="15"/>
      <c r="U29" s="15"/>
      <c r="V29" s="15"/>
      <c r="W29" s="15"/>
      <c r="X29" s="15"/>
      <c r="Y29" s="15"/>
      <c r="Z29" s="15"/>
      <c r="AA29" s="15"/>
      <c r="AB29" s="15"/>
      <c r="AC29" s="15"/>
      <c r="AD29" s="23"/>
      <c r="AF29" s="27"/>
      <c r="AG29" s="27"/>
      <c r="AH29" s="27"/>
      <c r="AI29" s="27"/>
      <c r="AJ29" s="27"/>
      <c r="AK29" s="27"/>
      <c r="AL29" s="27"/>
      <c r="AM29" s="27"/>
      <c r="AN29" s="27"/>
      <c r="AO29" s="27"/>
      <c r="AP29" s="27"/>
      <c r="AQ29" s="27"/>
      <c r="AS29" s="27"/>
      <c r="AT29" s="27"/>
      <c r="AU29" s="27"/>
      <c r="AV29" s="27"/>
      <c r="AW29" s="27"/>
      <c r="AX29" s="27"/>
      <c r="AY29" s="27"/>
      <c r="AZ29" s="27"/>
      <c r="BA29" s="27"/>
      <c r="BB29" s="27"/>
      <c r="BC29" s="27"/>
      <c r="BI29" s="29"/>
      <c r="BJ29" s="29"/>
      <c r="BK29" s="29"/>
      <c r="BL29" s="29"/>
      <c r="BM29" s="29"/>
      <c r="BO29" s="29"/>
      <c r="BP29" s="29"/>
      <c r="BQ29" s="29"/>
      <c r="BR29" s="29"/>
      <c r="BS29" s="29"/>
    </row>
    <row r="30" spans="6:71" x14ac:dyDescent="0.3">
      <c r="F30" s="14"/>
      <c r="G30" s="15"/>
      <c r="H30" s="15"/>
      <c r="I30" s="15"/>
      <c r="J30" s="15"/>
      <c r="K30" s="15"/>
      <c r="L30" s="15"/>
      <c r="M30" s="15"/>
      <c r="N30" s="15"/>
      <c r="O30" s="15"/>
      <c r="P30" s="15"/>
      <c r="Q30" s="16"/>
      <c r="R30" s="9"/>
      <c r="S30" s="14"/>
      <c r="T30" s="15"/>
      <c r="U30" s="15"/>
      <c r="V30" s="15"/>
      <c r="W30" s="15"/>
      <c r="X30" s="15"/>
      <c r="Y30" s="15"/>
      <c r="Z30" s="15"/>
      <c r="AA30" s="15"/>
      <c r="AB30" s="15"/>
      <c r="AC30" s="15"/>
      <c r="AD30" s="23"/>
      <c r="AF30" s="27"/>
      <c r="AG30" s="27"/>
      <c r="AH30" s="27"/>
      <c r="AI30" s="27"/>
      <c r="AJ30" s="27"/>
      <c r="AK30" s="27"/>
      <c r="AL30" s="27"/>
      <c r="AM30" s="27"/>
      <c r="AN30" s="27"/>
      <c r="AO30" s="27"/>
      <c r="AP30" s="27"/>
      <c r="AQ30" s="27"/>
      <c r="AS30" s="27"/>
      <c r="AT30" s="27"/>
      <c r="AU30" s="27"/>
      <c r="AV30" s="27"/>
      <c r="AW30" s="27"/>
      <c r="AX30" s="27"/>
      <c r="AY30" s="27"/>
      <c r="AZ30" s="27"/>
      <c r="BA30" s="27"/>
      <c r="BB30" s="27"/>
      <c r="BC30" s="27"/>
    </row>
    <row r="31" spans="6:71" x14ac:dyDescent="0.3">
      <c r="F31" s="14"/>
      <c r="G31" s="15"/>
      <c r="H31" s="15"/>
      <c r="I31" s="15"/>
      <c r="J31" s="15"/>
      <c r="K31" s="15"/>
      <c r="L31" s="15"/>
      <c r="M31" s="15"/>
      <c r="N31" s="15"/>
      <c r="O31" s="15"/>
      <c r="P31" s="15"/>
      <c r="Q31" s="16"/>
      <c r="R31" s="9"/>
      <c r="S31" s="14"/>
      <c r="T31" s="15"/>
      <c r="U31" s="15"/>
      <c r="V31" s="15"/>
      <c r="W31" s="15"/>
      <c r="X31" s="15"/>
      <c r="Y31" s="15"/>
      <c r="Z31" s="15"/>
      <c r="AA31" s="15"/>
      <c r="AB31" s="15"/>
      <c r="AC31" s="15"/>
      <c r="AD31" s="23"/>
      <c r="AF31" s="27"/>
      <c r="AG31" s="27"/>
      <c r="AH31" s="27"/>
      <c r="AI31" s="27"/>
      <c r="AJ31" s="27"/>
      <c r="AK31" s="27"/>
      <c r="AL31" s="27"/>
      <c r="AM31" s="27"/>
      <c r="AN31" s="27"/>
      <c r="AO31" s="27"/>
      <c r="AP31" s="27"/>
      <c r="AQ31" s="27"/>
      <c r="AS31" s="27"/>
      <c r="AT31" s="27"/>
      <c r="AU31" s="27"/>
      <c r="AV31" s="27"/>
      <c r="AW31" s="27"/>
      <c r="AX31" s="27"/>
      <c r="AY31" s="27"/>
      <c r="AZ31" s="27"/>
      <c r="BA31" s="27"/>
      <c r="BB31" s="27"/>
      <c r="BC31" s="27"/>
    </row>
    <row r="32" spans="6:71" ht="15" thickBot="1" x14ac:dyDescent="0.35">
      <c r="F32" s="17"/>
      <c r="G32" s="18"/>
      <c r="H32" s="18"/>
      <c r="I32" s="18"/>
      <c r="J32" s="18"/>
      <c r="K32" s="18"/>
      <c r="L32" s="18"/>
      <c r="M32" s="18"/>
      <c r="N32" s="18"/>
      <c r="O32" s="18"/>
      <c r="P32" s="18"/>
      <c r="Q32" s="19"/>
      <c r="R32" s="9"/>
      <c r="S32" s="24"/>
      <c r="T32" s="25"/>
      <c r="U32" s="25"/>
      <c r="V32" s="25"/>
      <c r="W32" s="25"/>
      <c r="X32" s="25"/>
      <c r="Y32" s="25"/>
      <c r="Z32" s="25"/>
      <c r="AA32" s="25"/>
      <c r="AB32" s="25"/>
      <c r="AC32" s="25"/>
      <c r="AD32" s="26"/>
      <c r="AF32" s="27"/>
      <c r="AG32" s="27"/>
      <c r="AH32" s="27"/>
      <c r="AI32" s="27"/>
      <c r="AJ32" s="27"/>
      <c r="AK32" s="27"/>
      <c r="AL32" s="27"/>
      <c r="AM32" s="27"/>
      <c r="AN32" s="27"/>
      <c r="AO32" s="27"/>
      <c r="AP32" s="27"/>
      <c r="AQ32" s="27"/>
      <c r="AS32" s="27"/>
      <c r="AT32" s="27"/>
      <c r="AU32" s="27"/>
      <c r="AV32" s="27"/>
      <c r="AW32" s="27"/>
      <c r="AX32" s="27"/>
      <c r="AY32" s="27"/>
      <c r="AZ32" s="27"/>
      <c r="BA32" s="27"/>
      <c r="BB32" s="27"/>
      <c r="BC32" s="27"/>
    </row>
    <row r="33" spans="6:71" ht="15" thickTop="1" x14ac:dyDescent="0.3">
      <c r="O33" s="9"/>
      <c r="Q33" s="9"/>
      <c r="BI33" s="29"/>
      <c r="BJ33" s="29"/>
      <c r="BK33" s="29"/>
      <c r="BL33" s="29"/>
      <c r="BM33" s="29"/>
      <c r="BO33" s="29"/>
      <c r="BP33" s="29"/>
      <c r="BQ33" s="29"/>
      <c r="BR33" s="29"/>
      <c r="BS33" s="29"/>
    </row>
    <row r="34" spans="6:71" x14ac:dyDescent="0.3">
      <c r="BI34" s="29"/>
      <c r="BJ34" s="29"/>
      <c r="BK34" s="29"/>
      <c r="BL34" s="29"/>
      <c r="BM34" s="29"/>
      <c r="BO34" s="29"/>
      <c r="BP34" s="29"/>
      <c r="BQ34" s="29"/>
      <c r="BR34" s="29"/>
      <c r="BS34" s="29"/>
    </row>
    <row r="35" spans="6:71" x14ac:dyDescent="0.3">
      <c r="BI35" s="29"/>
      <c r="BJ35" s="29"/>
      <c r="BK35" s="29"/>
      <c r="BL35" s="29"/>
      <c r="BM35" s="29"/>
      <c r="BO35" s="29"/>
      <c r="BP35" s="29"/>
      <c r="BQ35" s="29"/>
      <c r="BR35" s="29"/>
      <c r="BS35" s="29"/>
    </row>
    <row r="36" spans="6:71" x14ac:dyDescent="0.3">
      <c r="BI36" s="29"/>
      <c r="BJ36" s="29"/>
      <c r="BK36" s="29"/>
      <c r="BL36" s="29"/>
      <c r="BM36" s="29"/>
      <c r="BO36" s="29"/>
      <c r="BP36" s="29"/>
      <c r="BQ36" s="29"/>
      <c r="BR36" s="29"/>
      <c r="BS36" s="29"/>
    </row>
    <row r="37" spans="6:71" x14ac:dyDescent="0.3">
      <c r="BI37" s="29"/>
      <c r="BJ37" s="29"/>
      <c r="BK37" s="29"/>
      <c r="BL37" s="29"/>
      <c r="BM37" s="29"/>
      <c r="BO37" s="29"/>
      <c r="BP37" s="29"/>
      <c r="BQ37" s="29"/>
      <c r="BR37" s="29"/>
      <c r="BS37" s="29"/>
    </row>
    <row r="38" spans="6:71" x14ac:dyDescent="0.3">
      <c r="BI38" s="29"/>
      <c r="BJ38" s="29"/>
      <c r="BK38" s="29"/>
      <c r="BL38" s="29"/>
      <c r="BM38" s="29"/>
      <c r="BO38" s="29"/>
      <c r="BP38" s="29"/>
      <c r="BQ38" s="29"/>
      <c r="BR38" s="29"/>
      <c r="BS38" s="29"/>
    </row>
    <row r="39" spans="6:71" x14ac:dyDescent="0.3">
      <c r="F39" s="28"/>
      <c r="G39" s="28"/>
      <c r="H39" s="28"/>
      <c r="I39" s="28"/>
      <c r="J39" s="28"/>
      <c r="K39" s="28"/>
      <c r="L39" s="28"/>
      <c r="M39" s="28"/>
      <c r="N39" s="28"/>
      <c r="O39" s="28"/>
      <c r="P39" s="28"/>
      <c r="Q39" s="28"/>
      <c r="BI39" s="29"/>
      <c r="BJ39" s="29"/>
      <c r="BK39" s="29"/>
      <c r="BL39" s="29"/>
      <c r="BM39" s="29"/>
      <c r="BO39" s="29"/>
      <c r="BP39" s="29"/>
      <c r="BQ39" s="29"/>
      <c r="BR39" s="29"/>
      <c r="BS39" s="29"/>
    </row>
    <row r="40" spans="6:71" x14ac:dyDescent="0.3">
      <c r="F40" s="27"/>
      <c r="G40" s="27"/>
      <c r="H40" s="27"/>
      <c r="I40" s="27"/>
      <c r="J40" s="27"/>
      <c r="K40" s="27"/>
      <c r="L40" s="27"/>
      <c r="M40" s="27"/>
      <c r="N40" s="27"/>
      <c r="O40" s="27"/>
      <c r="P40" s="27"/>
      <c r="Q40" s="27"/>
      <c r="S40" s="27"/>
      <c r="T40" s="27"/>
      <c r="U40" s="27"/>
      <c r="V40" s="27"/>
      <c r="W40" s="27"/>
      <c r="X40" s="27"/>
      <c r="Y40" s="27"/>
      <c r="Z40" s="27"/>
      <c r="AA40" s="27"/>
      <c r="AB40" s="27"/>
      <c r="AC40" s="27"/>
      <c r="AD40" s="27"/>
      <c r="AF40" s="27"/>
      <c r="AG40" s="27"/>
      <c r="AH40" s="27"/>
      <c r="AI40" s="27"/>
      <c r="AJ40" s="27"/>
      <c r="AK40" s="27"/>
      <c r="AL40" s="27"/>
      <c r="AM40" s="27"/>
      <c r="AN40" s="27"/>
      <c r="AO40" s="27"/>
      <c r="AP40" s="27"/>
      <c r="AQ40" s="27"/>
      <c r="AS40" s="27"/>
      <c r="AT40" s="27"/>
      <c r="AU40" s="27"/>
      <c r="AV40" s="27"/>
      <c r="AW40" s="27"/>
      <c r="AX40" s="27"/>
      <c r="AY40" s="27"/>
      <c r="AZ40" s="27"/>
      <c r="BA40" s="27"/>
      <c r="BB40" s="27"/>
      <c r="BC40" s="27"/>
    </row>
    <row r="41" spans="6:71" x14ac:dyDescent="0.3">
      <c r="F41" s="27"/>
      <c r="G41" s="27"/>
      <c r="H41" s="27"/>
      <c r="I41" s="27"/>
      <c r="J41" s="27"/>
      <c r="K41" s="27"/>
      <c r="L41" s="27"/>
      <c r="M41" s="27"/>
      <c r="N41" s="27"/>
      <c r="O41" s="27"/>
      <c r="P41" s="27"/>
      <c r="Q41" s="27"/>
      <c r="S41" s="27"/>
      <c r="T41" s="27"/>
      <c r="U41" s="27"/>
      <c r="V41" s="27"/>
      <c r="W41" s="27"/>
      <c r="X41" s="27"/>
      <c r="Y41" s="27"/>
      <c r="Z41" s="27"/>
      <c r="AA41" s="27"/>
      <c r="AB41" s="27"/>
      <c r="AC41" s="27"/>
      <c r="AD41" s="27"/>
      <c r="AF41" s="27"/>
      <c r="AG41" s="27"/>
      <c r="AH41" s="27"/>
      <c r="AI41" s="27"/>
      <c r="AJ41" s="27"/>
      <c r="AK41" s="27"/>
      <c r="AL41" s="27"/>
      <c r="AM41" s="27"/>
      <c r="AN41" s="27"/>
      <c r="AO41" s="27"/>
      <c r="AP41" s="27"/>
      <c r="AQ41" s="27"/>
      <c r="AS41" s="27"/>
      <c r="AT41" s="27"/>
      <c r="AU41" s="27"/>
      <c r="AV41" s="27"/>
      <c r="AW41" s="27"/>
      <c r="AX41" s="27"/>
      <c r="AY41" s="27"/>
      <c r="AZ41" s="27"/>
      <c r="BA41" s="27"/>
      <c r="BB41" s="27"/>
      <c r="BC41" s="27"/>
    </row>
    <row r="42" spans="6:71" x14ac:dyDescent="0.3">
      <c r="F42" s="27"/>
      <c r="G42" s="27"/>
      <c r="H42" s="27"/>
      <c r="I42" s="27"/>
      <c r="J42" s="27"/>
      <c r="K42" s="27"/>
      <c r="L42" s="27"/>
      <c r="M42" s="27"/>
      <c r="N42" s="27"/>
      <c r="O42" s="27"/>
      <c r="P42" s="27"/>
      <c r="Q42" s="27"/>
      <c r="S42" s="27"/>
      <c r="T42" s="27"/>
      <c r="U42" s="27"/>
      <c r="V42" s="27"/>
      <c r="W42" s="27"/>
      <c r="X42" s="27"/>
      <c r="Y42" s="27"/>
      <c r="Z42" s="27"/>
      <c r="AA42" s="27"/>
      <c r="AB42" s="27"/>
      <c r="AC42" s="27"/>
      <c r="AD42" s="27"/>
      <c r="AF42" s="27"/>
      <c r="AG42" s="27"/>
      <c r="AH42" s="27"/>
      <c r="AI42" s="27"/>
      <c r="AJ42" s="27"/>
      <c r="AK42" s="27"/>
      <c r="AL42" s="27"/>
      <c r="AM42" s="27"/>
      <c r="AN42" s="27"/>
      <c r="AO42" s="27"/>
      <c r="AP42" s="27"/>
      <c r="AQ42" s="27"/>
      <c r="AS42" s="27"/>
      <c r="AT42" s="27"/>
      <c r="AU42" s="27"/>
      <c r="AV42" s="27"/>
      <c r="AW42" s="27"/>
      <c r="AX42" s="27"/>
      <c r="AY42" s="27"/>
      <c r="AZ42" s="27"/>
      <c r="BA42" s="27"/>
      <c r="BB42" s="27"/>
      <c r="BC42" s="27"/>
    </row>
    <row r="43" spans="6:71" x14ac:dyDescent="0.3">
      <c r="F43" s="27"/>
      <c r="G43" s="27"/>
      <c r="H43" s="27"/>
      <c r="I43" s="27"/>
      <c r="J43" s="27"/>
      <c r="K43" s="27"/>
      <c r="L43" s="27"/>
      <c r="M43" s="27"/>
      <c r="N43" s="27"/>
      <c r="O43" s="27"/>
      <c r="P43" s="27"/>
      <c r="Q43" s="27"/>
      <c r="S43" s="27"/>
      <c r="T43" s="27"/>
      <c r="U43" s="27"/>
      <c r="V43" s="27"/>
      <c r="W43" s="27"/>
      <c r="X43" s="27"/>
      <c r="Y43" s="27"/>
      <c r="Z43" s="27"/>
      <c r="AA43" s="27"/>
      <c r="AB43" s="27"/>
      <c r="AC43" s="27"/>
      <c r="AD43" s="27"/>
      <c r="AF43" s="27"/>
      <c r="AG43" s="27"/>
      <c r="AH43" s="27"/>
      <c r="AI43" s="27"/>
      <c r="AJ43" s="27"/>
      <c r="AK43" s="27"/>
      <c r="AL43" s="27"/>
      <c r="AM43" s="27"/>
      <c r="AN43" s="27"/>
      <c r="AO43" s="27"/>
      <c r="AP43" s="27"/>
      <c r="AQ43" s="27"/>
      <c r="AS43" s="27"/>
      <c r="AT43" s="27"/>
      <c r="AU43" s="27"/>
      <c r="AV43" s="27"/>
      <c r="AW43" s="27"/>
      <c r="AX43" s="27"/>
      <c r="AY43" s="27"/>
      <c r="AZ43" s="27"/>
      <c r="BA43" s="27"/>
      <c r="BB43" s="27"/>
      <c r="BC43" s="27"/>
      <c r="BI43" s="29"/>
      <c r="BJ43" s="29"/>
      <c r="BK43" s="29"/>
      <c r="BL43" s="29"/>
      <c r="BM43" s="29"/>
      <c r="BO43" s="29"/>
      <c r="BP43" s="29"/>
      <c r="BQ43" s="29"/>
      <c r="BR43" s="29"/>
      <c r="BS43" s="29"/>
    </row>
    <row r="44" spans="6:71" x14ac:dyDescent="0.3">
      <c r="F44" s="27"/>
      <c r="G44" s="27"/>
      <c r="H44" s="27"/>
      <c r="I44" s="27"/>
      <c r="J44" s="27"/>
      <c r="K44" s="27"/>
      <c r="L44" s="27"/>
      <c r="M44" s="27"/>
      <c r="N44" s="27"/>
      <c r="O44" s="27"/>
      <c r="P44" s="27"/>
      <c r="Q44" s="27"/>
      <c r="S44" s="27"/>
      <c r="T44" s="27"/>
      <c r="U44" s="27"/>
      <c r="V44" s="27"/>
      <c r="W44" s="27"/>
      <c r="X44" s="27"/>
      <c r="Y44" s="27"/>
      <c r="Z44" s="27"/>
      <c r="AA44" s="27"/>
      <c r="AB44" s="27"/>
      <c r="AC44" s="27"/>
      <c r="AD44" s="27"/>
      <c r="AF44" s="27"/>
      <c r="AG44" s="27"/>
      <c r="AH44" s="27"/>
      <c r="AI44" s="27"/>
      <c r="AJ44" s="27"/>
      <c r="AK44" s="27"/>
      <c r="AL44" s="27"/>
      <c r="AM44" s="27"/>
      <c r="AN44" s="27"/>
      <c r="AO44" s="27"/>
      <c r="AP44" s="27"/>
      <c r="AQ44" s="27"/>
      <c r="AS44" s="27"/>
      <c r="AT44" s="27"/>
      <c r="AU44" s="27"/>
      <c r="AV44" s="27"/>
      <c r="AW44" s="27"/>
      <c r="AX44" s="27"/>
      <c r="AY44" s="27"/>
      <c r="AZ44" s="27"/>
      <c r="BA44" s="27"/>
      <c r="BB44" s="27"/>
      <c r="BC44" s="27"/>
      <c r="BI44" s="29"/>
      <c r="BJ44" s="29"/>
      <c r="BK44" s="29"/>
      <c r="BL44" s="29"/>
      <c r="BM44" s="29"/>
      <c r="BO44" s="29"/>
      <c r="BP44" s="29"/>
      <c r="BQ44" s="29"/>
      <c r="BR44" s="29"/>
      <c r="BS44" s="29"/>
    </row>
    <row r="45" spans="6:71" x14ac:dyDescent="0.3">
      <c r="F45" s="27"/>
      <c r="G45" s="27"/>
      <c r="H45" s="27"/>
      <c r="I45" s="27"/>
      <c r="J45" s="27"/>
      <c r="K45" s="27"/>
      <c r="L45" s="27"/>
      <c r="M45" s="27"/>
      <c r="N45" s="27"/>
      <c r="O45" s="27"/>
      <c r="P45" s="27"/>
      <c r="Q45" s="27"/>
      <c r="S45" s="27"/>
      <c r="T45" s="27"/>
      <c r="U45" s="27"/>
      <c r="V45" s="27"/>
      <c r="W45" s="27"/>
      <c r="X45" s="27"/>
      <c r="Y45" s="27"/>
      <c r="Z45" s="27"/>
      <c r="AA45" s="27"/>
      <c r="AB45" s="27"/>
      <c r="AC45" s="27"/>
      <c r="AD45" s="27"/>
      <c r="AF45" s="27"/>
      <c r="AG45" s="27"/>
      <c r="AH45" s="27"/>
      <c r="AI45" s="27"/>
      <c r="AJ45" s="27"/>
      <c r="AK45" s="27"/>
      <c r="AL45" s="27"/>
      <c r="AM45" s="27"/>
      <c r="AN45" s="27"/>
      <c r="AO45" s="27"/>
      <c r="AP45" s="27"/>
      <c r="AQ45" s="27"/>
      <c r="AS45" s="27"/>
      <c r="AT45" s="27"/>
      <c r="AU45" s="27"/>
      <c r="AV45" s="27"/>
      <c r="AW45" s="27"/>
      <c r="AX45" s="27"/>
      <c r="AY45" s="27"/>
      <c r="AZ45" s="27"/>
      <c r="BA45" s="27"/>
      <c r="BB45" s="27"/>
      <c r="BC45" s="27"/>
      <c r="BI45" s="29"/>
      <c r="BJ45" s="29"/>
      <c r="BK45" s="29"/>
      <c r="BL45" s="29"/>
      <c r="BM45" s="29"/>
      <c r="BO45" s="29"/>
      <c r="BP45" s="29"/>
      <c r="BQ45" s="29"/>
      <c r="BR45" s="29"/>
      <c r="BS45" s="29"/>
    </row>
    <row r="46" spans="6:71" x14ac:dyDescent="0.3">
      <c r="F46" s="27"/>
      <c r="G46" s="27"/>
      <c r="H46" s="27"/>
      <c r="I46" s="27"/>
      <c r="J46" s="27"/>
      <c r="K46" s="27"/>
      <c r="L46" s="27"/>
      <c r="M46" s="27"/>
      <c r="N46" s="27"/>
      <c r="O46" s="27"/>
      <c r="P46" s="27"/>
      <c r="Q46" s="27"/>
      <c r="S46" s="27"/>
      <c r="T46" s="27"/>
      <c r="U46" s="27"/>
      <c r="V46" s="27"/>
      <c r="W46" s="27"/>
      <c r="X46" s="27"/>
      <c r="Y46" s="27"/>
      <c r="Z46" s="27"/>
      <c r="AA46" s="27"/>
      <c r="AB46" s="27"/>
      <c r="AC46" s="27"/>
      <c r="AD46" s="27"/>
      <c r="AF46" s="27"/>
      <c r="AG46" s="27"/>
      <c r="AH46" s="27"/>
      <c r="AI46" s="27"/>
      <c r="AJ46" s="27"/>
      <c r="AK46" s="27"/>
      <c r="AL46" s="27"/>
      <c r="AM46" s="27"/>
      <c r="AN46" s="27"/>
      <c r="AO46" s="27"/>
      <c r="AP46" s="27"/>
      <c r="AQ46" s="27"/>
      <c r="AS46" s="27"/>
      <c r="AT46" s="27"/>
      <c r="AU46" s="27"/>
      <c r="AV46" s="27"/>
      <c r="AW46" s="27"/>
      <c r="AX46" s="27"/>
      <c r="AY46" s="27"/>
      <c r="AZ46" s="27"/>
      <c r="BA46" s="27"/>
      <c r="BB46" s="27"/>
      <c r="BC46" s="27"/>
      <c r="BI46" s="29"/>
      <c r="BJ46" s="29"/>
      <c r="BK46" s="29"/>
      <c r="BL46" s="29"/>
      <c r="BM46" s="29"/>
      <c r="BO46" s="29"/>
      <c r="BP46" s="29"/>
      <c r="BQ46" s="29"/>
      <c r="BR46" s="29"/>
      <c r="BS46" s="29"/>
    </row>
    <row r="47" spans="6:71" x14ac:dyDescent="0.3">
      <c r="F47" s="27"/>
      <c r="G47" s="27"/>
      <c r="H47" s="27"/>
      <c r="I47" s="27"/>
      <c r="J47" s="27"/>
      <c r="K47" s="27"/>
      <c r="L47" s="27"/>
      <c r="M47" s="27"/>
      <c r="N47" s="27"/>
      <c r="O47" s="27"/>
      <c r="P47" s="27"/>
      <c r="Q47" s="27"/>
      <c r="S47" s="27"/>
      <c r="T47" s="27"/>
      <c r="U47" s="27"/>
      <c r="V47" s="27"/>
      <c r="W47" s="27"/>
      <c r="X47" s="27"/>
      <c r="Y47" s="27"/>
      <c r="Z47" s="27"/>
      <c r="AA47" s="27"/>
      <c r="AB47" s="27"/>
      <c r="AC47" s="27"/>
      <c r="AD47" s="27"/>
      <c r="AF47" s="27"/>
      <c r="AG47" s="27"/>
      <c r="AH47" s="27"/>
      <c r="AI47" s="27"/>
      <c r="AJ47" s="27"/>
      <c r="AK47" s="27"/>
      <c r="AL47" s="27"/>
      <c r="AM47" s="27"/>
      <c r="AN47" s="27"/>
      <c r="AO47" s="27"/>
      <c r="AP47" s="27"/>
      <c r="AQ47" s="27"/>
      <c r="AS47" s="27"/>
      <c r="AT47" s="27"/>
      <c r="AU47" s="27"/>
      <c r="AV47" s="27"/>
      <c r="AW47" s="27"/>
      <c r="AX47" s="27"/>
      <c r="AY47" s="27"/>
      <c r="AZ47" s="27"/>
      <c r="BA47" s="27"/>
      <c r="BB47" s="27"/>
      <c r="BC47" s="27"/>
      <c r="BI47" s="29"/>
      <c r="BJ47" s="29"/>
      <c r="BK47" s="29"/>
      <c r="BL47" s="29"/>
      <c r="BM47" s="29"/>
      <c r="BO47" s="29"/>
      <c r="BP47" s="29"/>
      <c r="BQ47" s="29"/>
      <c r="BR47" s="29"/>
      <c r="BS47" s="29"/>
    </row>
    <row r="48" spans="6:71" x14ac:dyDescent="0.3">
      <c r="F48" s="27"/>
      <c r="G48" s="27"/>
      <c r="H48" s="27"/>
      <c r="I48" s="27"/>
      <c r="J48" s="27"/>
      <c r="K48" s="27"/>
      <c r="L48" s="27"/>
      <c r="M48" s="27"/>
      <c r="N48" s="27"/>
      <c r="O48" s="27"/>
      <c r="P48" s="27"/>
      <c r="Q48" s="27"/>
      <c r="S48" s="27"/>
      <c r="T48" s="27"/>
      <c r="U48" s="27"/>
      <c r="V48" s="27"/>
      <c r="W48" s="27"/>
      <c r="X48" s="27"/>
      <c r="Y48" s="27"/>
      <c r="Z48" s="27"/>
      <c r="AA48" s="27"/>
      <c r="AB48" s="27"/>
      <c r="AC48" s="27"/>
      <c r="AD48" s="27"/>
      <c r="AF48" s="27"/>
      <c r="AG48" s="27"/>
      <c r="AH48" s="27"/>
      <c r="AI48" s="27"/>
      <c r="AJ48" s="27"/>
      <c r="AK48" s="27"/>
      <c r="AL48" s="27"/>
      <c r="AM48" s="27"/>
      <c r="AN48" s="27"/>
      <c r="AO48" s="27"/>
      <c r="AP48" s="27"/>
      <c r="AQ48" s="27"/>
      <c r="AS48" s="27"/>
      <c r="AT48" s="27"/>
      <c r="AU48" s="27"/>
      <c r="AV48" s="27"/>
      <c r="AW48" s="27"/>
      <c r="AX48" s="27"/>
      <c r="AY48" s="27"/>
      <c r="AZ48" s="27"/>
      <c r="BA48" s="27"/>
      <c r="BB48" s="27"/>
      <c r="BC48" s="27"/>
      <c r="BI48" s="29"/>
      <c r="BJ48" s="29"/>
      <c r="BK48" s="29"/>
      <c r="BL48" s="29"/>
      <c r="BM48" s="29"/>
      <c r="BO48" s="29"/>
      <c r="BP48" s="29"/>
      <c r="BQ48" s="29"/>
      <c r="BR48" s="29"/>
      <c r="BS48" s="29"/>
    </row>
    <row r="49" spans="6:71" x14ac:dyDescent="0.3">
      <c r="F49" s="27"/>
      <c r="G49" s="27"/>
      <c r="H49" s="27"/>
      <c r="I49" s="27"/>
      <c r="J49" s="27"/>
      <c r="K49" s="27"/>
      <c r="L49" s="27"/>
      <c r="M49" s="27"/>
      <c r="N49" s="27"/>
      <c r="O49" s="27"/>
      <c r="P49" s="27"/>
      <c r="Q49" s="27"/>
      <c r="S49" s="27"/>
      <c r="T49" s="27"/>
      <c r="U49" s="27"/>
      <c r="V49" s="27"/>
      <c r="W49" s="27"/>
      <c r="X49" s="27"/>
      <c r="Y49" s="27"/>
      <c r="Z49" s="27"/>
      <c r="AA49" s="27"/>
      <c r="AB49" s="27"/>
      <c r="AC49" s="27"/>
      <c r="AD49" s="27"/>
      <c r="AF49" s="27"/>
      <c r="AG49" s="27"/>
      <c r="AH49" s="27"/>
      <c r="AI49" s="27"/>
      <c r="AJ49" s="27"/>
      <c r="AK49" s="27"/>
      <c r="AL49" s="27"/>
      <c r="AM49" s="27"/>
      <c r="AN49" s="27"/>
      <c r="AO49" s="27"/>
      <c r="AP49" s="27"/>
      <c r="AQ49" s="27"/>
      <c r="AS49" s="27"/>
      <c r="AT49" s="27"/>
      <c r="AU49" s="27"/>
      <c r="AV49" s="27"/>
      <c r="AW49" s="27"/>
      <c r="AX49" s="27"/>
      <c r="AY49" s="27"/>
      <c r="AZ49" s="27"/>
      <c r="BA49" s="27"/>
      <c r="BB49" s="27"/>
      <c r="BC49" s="27"/>
      <c r="BI49" s="29"/>
      <c r="BJ49" s="29"/>
      <c r="BK49" s="29"/>
      <c r="BL49" s="29"/>
      <c r="BM49" s="29"/>
      <c r="BO49" s="29"/>
      <c r="BP49" s="29"/>
      <c r="BQ49" s="29"/>
      <c r="BR49" s="29"/>
      <c r="BS49" s="29"/>
    </row>
    <row r="50" spans="6:71" x14ac:dyDescent="0.3">
      <c r="F50" s="27"/>
      <c r="G50" s="27"/>
      <c r="H50" s="27"/>
      <c r="I50" s="27"/>
      <c r="J50" s="27"/>
      <c r="K50" s="27"/>
      <c r="L50" s="27"/>
      <c r="M50" s="27"/>
      <c r="N50" s="27"/>
      <c r="O50" s="27"/>
      <c r="P50" s="27"/>
      <c r="Q50" s="27"/>
      <c r="S50" s="27"/>
      <c r="T50" s="27"/>
      <c r="U50" s="27"/>
      <c r="V50" s="27"/>
      <c r="W50" s="27"/>
      <c r="X50" s="27"/>
      <c r="Y50" s="27"/>
      <c r="Z50" s="27"/>
      <c r="AA50" s="27"/>
      <c r="AB50" s="27"/>
      <c r="AC50" s="27"/>
      <c r="AD50" s="27"/>
      <c r="AF50" s="27"/>
      <c r="AG50" s="27"/>
      <c r="AH50" s="27"/>
      <c r="AI50" s="27"/>
      <c r="AJ50" s="27"/>
      <c r="AK50" s="27"/>
      <c r="AL50" s="27"/>
      <c r="AM50" s="27"/>
      <c r="AN50" s="27"/>
      <c r="AO50" s="27"/>
      <c r="AP50" s="27"/>
      <c r="AQ50" s="27"/>
      <c r="AS50" s="27"/>
      <c r="AT50" s="27"/>
      <c r="AU50" s="27"/>
      <c r="AV50" s="27"/>
      <c r="AW50" s="27"/>
      <c r="AX50" s="27"/>
      <c r="AY50" s="27"/>
      <c r="AZ50" s="27"/>
      <c r="BA50" s="27"/>
      <c r="BB50" s="27"/>
      <c r="BC50" s="27"/>
      <c r="BI50" s="29"/>
      <c r="BJ50" s="29"/>
      <c r="BK50" s="29"/>
      <c r="BL50" s="29"/>
      <c r="BM50" s="29"/>
      <c r="BO50" s="29"/>
      <c r="BP50" s="29"/>
      <c r="BQ50" s="29"/>
      <c r="BR50" s="29"/>
      <c r="BS50" s="29"/>
    </row>
    <row r="51" spans="6:71" x14ac:dyDescent="0.3">
      <c r="F51" s="27"/>
      <c r="G51" s="27"/>
      <c r="H51" s="27"/>
      <c r="I51" s="27"/>
      <c r="J51" s="27"/>
      <c r="K51" s="27"/>
      <c r="L51" s="27"/>
      <c r="M51" s="27"/>
      <c r="N51" s="27"/>
      <c r="O51" s="27"/>
      <c r="P51" s="27"/>
      <c r="Q51" s="27"/>
      <c r="S51" s="27"/>
      <c r="T51" s="27"/>
      <c r="U51" s="27"/>
      <c r="V51" s="27"/>
      <c r="W51" s="27"/>
      <c r="X51" s="27"/>
      <c r="Y51" s="27"/>
      <c r="Z51" s="27"/>
      <c r="AA51" s="27"/>
      <c r="AB51" s="27"/>
      <c r="AC51" s="27"/>
      <c r="AD51" s="27"/>
      <c r="AF51" s="27"/>
      <c r="AG51" s="27"/>
      <c r="AH51" s="27"/>
      <c r="AI51" s="27"/>
      <c r="AJ51" s="27"/>
      <c r="AK51" s="27"/>
      <c r="AL51" s="27"/>
      <c r="AM51" s="27"/>
      <c r="AN51" s="27"/>
      <c r="AO51" s="27"/>
      <c r="AP51" s="27"/>
      <c r="AQ51" s="27"/>
      <c r="AS51" s="27"/>
      <c r="AT51" s="27"/>
      <c r="AU51" s="27"/>
      <c r="AV51" s="27"/>
      <c r="AW51" s="27"/>
      <c r="AX51" s="27"/>
      <c r="AY51" s="27"/>
      <c r="AZ51" s="27"/>
      <c r="BA51" s="27"/>
      <c r="BB51" s="27"/>
      <c r="BC51" s="27"/>
    </row>
    <row r="52" spans="6:71" x14ac:dyDescent="0.3">
      <c r="F52" s="27"/>
      <c r="G52" s="27"/>
      <c r="H52" s="27"/>
      <c r="I52" s="27"/>
      <c r="J52" s="27"/>
      <c r="K52" s="27"/>
      <c r="L52" s="27"/>
      <c r="M52" s="27"/>
      <c r="N52" s="27"/>
      <c r="O52" s="27"/>
      <c r="P52" s="27"/>
      <c r="Q52" s="27"/>
      <c r="S52" s="27"/>
      <c r="T52" s="27"/>
      <c r="U52" s="27"/>
      <c r="V52" s="27"/>
      <c r="W52" s="27"/>
      <c r="X52" s="27"/>
      <c r="Y52" s="27"/>
      <c r="Z52" s="27"/>
      <c r="AA52" s="27"/>
      <c r="AB52" s="27"/>
      <c r="AC52" s="27"/>
      <c r="AD52" s="27"/>
      <c r="AF52" s="27"/>
      <c r="AG52" s="27"/>
      <c r="AH52" s="27"/>
      <c r="AI52" s="27"/>
      <c r="AJ52" s="27"/>
      <c r="AK52" s="27"/>
      <c r="AL52" s="27"/>
      <c r="AM52" s="27"/>
      <c r="AN52" s="27"/>
      <c r="AO52" s="27"/>
      <c r="AP52" s="27"/>
      <c r="AQ52" s="27"/>
      <c r="AS52" s="27"/>
      <c r="AT52" s="27"/>
      <c r="AU52" s="27"/>
      <c r="AV52" s="27"/>
      <c r="AW52" s="27"/>
      <c r="AX52" s="27"/>
      <c r="AY52" s="27"/>
      <c r="AZ52" s="27"/>
      <c r="BA52" s="27"/>
      <c r="BB52" s="27"/>
      <c r="BC52" s="27"/>
    </row>
    <row r="53" spans="6:71" x14ac:dyDescent="0.3">
      <c r="F53" s="27"/>
      <c r="G53" s="27"/>
      <c r="H53" s="27"/>
      <c r="I53" s="27"/>
      <c r="J53" s="27"/>
      <c r="K53" s="27"/>
      <c r="L53" s="27"/>
      <c r="M53" s="27"/>
      <c r="N53" s="27"/>
      <c r="O53" s="27"/>
      <c r="P53" s="27"/>
      <c r="Q53" s="27"/>
      <c r="S53" s="27"/>
      <c r="T53" s="27"/>
      <c r="U53" s="27"/>
      <c r="V53" s="27"/>
      <c r="W53" s="27"/>
      <c r="X53" s="27"/>
      <c r="Y53" s="27"/>
      <c r="Z53" s="27"/>
      <c r="AA53" s="27"/>
      <c r="AB53" s="27"/>
      <c r="AC53" s="27"/>
      <c r="AD53" s="27"/>
      <c r="AF53" s="27"/>
      <c r="AG53" s="27"/>
      <c r="AH53" s="27"/>
      <c r="AI53" s="27"/>
      <c r="AJ53" s="27"/>
      <c r="AK53" s="27"/>
      <c r="AL53" s="27"/>
      <c r="AM53" s="27"/>
      <c r="AN53" s="27"/>
      <c r="AO53" s="27"/>
      <c r="AP53" s="27"/>
      <c r="AQ53" s="27"/>
      <c r="AS53" s="27"/>
      <c r="AT53" s="27"/>
      <c r="AU53" s="27"/>
      <c r="AV53" s="27"/>
      <c r="AW53" s="27"/>
      <c r="AX53" s="27"/>
      <c r="AY53" s="27"/>
      <c r="AZ53" s="27"/>
      <c r="BA53" s="27"/>
      <c r="BB53" s="27"/>
      <c r="BC53" s="27"/>
    </row>
    <row r="54" spans="6:71" x14ac:dyDescent="0.3">
      <c r="F54" s="27"/>
      <c r="G54" s="27"/>
      <c r="H54" s="27"/>
      <c r="I54" s="27"/>
      <c r="J54" s="27"/>
      <c r="K54" s="27"/>
      <c r="L54" s="27"/>
      <c r="M54" s="27"/>
      <c r="N54" s="27"/>
      <c r="O54" s="27"/>
      <c r="P54" s="27"/>
      <c r="Q54" s="27"/>
      <c r="S54" s="27"/>
      <c r="T54" s="27"/>
      <c r="U54" s="27"/>
      <c r="V54" s="27"/>
      <c r="W54" s="27"/>
      <c r="X54" s="27"/>
      <c r="Y54" s="27"/>
      <c r="Z54" s="27"/>
      <c r="AA54" s="27"/>
      <c r="AB54" s="27"/>
      <c r="AC54" s="27"/>
      <c r="AD54" s="27"/>
      <c r="AF54" s="27"/>
      <c r="AG54" s="27"/>
      <c r="AH54" s="27"/>
      <c r="AI54" s="27"/>
      <c r="AJ54" s="27"/>
      <c r="AK54" s="27"/>
      <c r="AL54" s="27"/>
      <c r="AM54" s="27"/>
      <c r="AN54" s="27"/>
      <c r="AO54" s="27"/>
      <c r="AP54" s="27"/>
      <c r="AQ54" s="27"/>
      <c r="AS54" s="27"/>
      <c r="AT54" s="27"/>
      <c r="AU54" s="27"/>
      <c r="AV54" s="27"/>
      <c r="AW54" s="27"/>
      <c r="AX54" s="27"/>
      <c r="AY54" s="27"/>
      <c r="AZ54" s="27"/>
      <c r="BA54" s="27"/>
      <c r="BB54" s="27"/>
      <c r="BC54" s="27"/>
      <c r="BI54" s="29"/>
      <c r="BJ54" s="29"/>
      <c r="BK54" s="29"/>
      <c r="BL54" s="29"/>
      <c r="BM54" s="29"/>
      <c r="BO54" s="29"/>
      <c r="BP54" s="29"/>
      <c r="BQ54" s="29"/>
      <c r="BR54" s="29"/>
      <c r="BS54" s="29"/>
    </row>
    <row r="55" spans="6:71" x14ac:dyDescent="0.3">
      <c r="F55" s="27"/>
      <c r="G55" s="27"/>
      <c r="H55" s="27"/>
      <c r="I55" s="27"/>
      <c r="J55" s="27"/>
      <c r="K55" s="27"/>
      <c r="L55" s="27"/>
      <c r="M55" s="27"/>
      <c r="N55" s="27"/>
      <c r="O55" s="27"/>
      <c r="P55" s="27"/>
      <c r="Q55" s="27"/>
      <c r="S55" s="27"/>
      <c r="T55" s="27"/>
      <c r="U55" s="27"/>
      <c r="V55" s="27"/>
      <c r="W55" s="27"/>
      <c r="X55" s="27"/>
      <c r="Y55" s="27"/>
      <c r="Z55" s="27"/>
      <c r="AA55" s="27"/>
      <c r="AB55" s="27"/>
      <c r="AC55" s="27"/>
      <c r="AD55" s="27"/>
      <c r="AF55" s="27"/>
      <c r="AG55" s="27"/>
      <c r="AH55" s="27"/>
      <c r="AI55" s="27"/>
      <c r="AJ55" s="27"/>
      <c r="AK55" s="27"/>
      <c r="AL55" s="27"/>
      <c r="AM55" s="27"/>
      <c r="AN55" s="27"/>
      <c r="AO55" s="27"/>
      <c r="AP55" s="27"/>
      <c r="AQ55" s="27"/>
      <c r="AS55" s="27"/>
      <c r="AT55" s="27"/>
      <c r="AU55" s="27"/>
      <c r="AV55" s="27"/>
      <c r="AW55" s="27"/>
      <c r="AX55" s="27"/>
      <c r="AY55" s="27"/>
      <c r="AZ55" s="27"/>
      <c r="BA55" s="27"/>
      <c r="BB55" s="27"/>
      <c r="BC55" s="27"/>
      <c r="BI55" s="29"/>
      <c r="BJ55" s="29"/>
      <c r="BK55" s="29"/>
      <c r="BL55" s="29"/>
      <c r="BM55" s="29"/>
      <c r="BO55" s="29"/>
      <c r="BP55" s="29"/>
      <c r="BQ55" s="29"/>
      <c r="BR55" s="29"/>
      <c r="BS55" s="29"/>
    </row>
    <row r="56" spans="6:71" x14ac:dyDescent="0.3">
      <c r="F56" s="27"/>
      <c r="G56" s="27"/>
      <c r="H56" s="27"/>
      <c r="I56" s="27"/>
      <c r="J56" s="27"/>
      <c r="K56" s="27"/>
      <c r="L56" s="27"/>
      <c r="M56" s="27"/>
      <c r="N56" s="27"/>
      <c r="O56" s="27"/>
      <c r="P56" s="27"/>
      <c r="Q56" s="27"/>
      <c r="S56" s="27"/>
      <c r="T56" s="27"/>
      <c r="U56" s="27"/>
      <c r="V56" s="27"/>
      <c r="W56" s="27"/>
      <c r="X56" s="27"/>
      <c r="Y56" s="27"/>
      <c r="Z56" s="27"/>
      <c r="AA56" s="27"/>
      <c r="AB56" s="27"/>
      <c r="AC56" s="27"/>
      <c r="AD56" s="27"/>
      <c r="AF56" s="27"/>
      <c r="AG56" s="27"/>
      <c r="AH56" s="27"/>
      <c r="AI56" s="27"/>
      <c r="AJ56" s="27"/>
      <c r="AK56" s="27"/>
      <c r="AL56" s="27"/>
      <c r="AM56" s="27"/>
      <c r="AN56" s="27"/>
      <c r="AO56" s="27"/>
      <c r="AP56" s="27"/>
      <c r="AQ56" s="27"/>
      <c r="AS56" s="27"/>
      <c r="AT56" s="27"/>
      <c r="AU56" s="27"/>
      <c r="AV56" s="27"/>
      <c r="AW56" s="27"/>
      <c r="AX56" s="27"/>
      <c r="AY56" s="27"/>
      <c r="AZ56" s="27"/>
      <c r="BA56" s="27"/>
      <c r="BB56" s="27"/>
      <c r="BC56" s="27"/>
      <c r="BI56" s="29"/>
      <c r="BJ56" s="29"/>
      <c r="BK56" s="29"/>
      <c r="BL56" s="29"/>
      <c r="BM56" s="29"/>
      <c r="BO56" s="29"/>
      <c r="BP56" s="29"/>
      <c r="BQ56" s="29"/>
      <c r="BR56" s="29"/>
      <c r="BS56" s="29"/>
    </row>
    <row r="57" spans="6:71" x14ac:dyDescent="0.3">
      <c r="F57" s="27"/>
      <c r="G57" s="27"/>
      <c r="H57" s="27"/>
      <c r="I57" s="27"/>
      <c r="J57" s="27"/>
      <c r="K57" s="27"/>
      <c r="L57" s="27"/>
      <c r="M57" s="27"/>
      <c r="N57" s="27"/>
      <c r="O57" s="27"/>
      <c r="P57" s="27"/>
      <c r="Q57" s="27"/>
      <c r="S57" s="27"/>
      <c r="T57" s="27"/>
      <c r="U57" s="27"/>
      <c r="V57" s="27"/>
      <c r="W57" s="27"/>
      <c r="X57" s="27"/>
      <c r="Y57" s="27"/>
      <c r="Z57" s="27"/>
      <c r="AA57" s="27"/>
      <c r="AB57" s="27"/>
      <c r="AC57" s="27"/>
      <c r="AD57" s="27"/>
      <c r="AF57" s="27"/>
      <c r="AG57" s="27"/>
      <c r="AH57" s="27"/>
      <c r="AI57" s="27"/>
      <c r="AJ57" s="27"/>
      <c r="AK57" s="27"/>
      <c r="AL57" s="27"/>
      <c r="AM57" s="27"/>
      <c r="AN57" s="27"/>
      <c r="AO57" s="27"/>
      <c r="AP57" s="27"/>
      <c r="AQ57" s="27"/>
      <c r="AS57" s="27"/>
      <c r="AT57" s="27"/>
      <c r="AU57" s="27"/>
      <c r="AV57" s="27"/>
      <c r="AW57" s="27"/>
      <c r="AX57" s="27"/>
      <c r="AY57" s="27"/>
      <c r="AZ57" s="27"/>
      <c r="BA57" s="27"/>
      <c r="BB57" s="27"/>
      <c r="BC57" s="27"/>
      <c r="BI57" s="29"/>
      <c r="BJ57" s="29"/>
      <c r="BK57" s="29"/>
      <c r="BL57" s="29"/>
      <c r="BM57" s="29"/>
      <c r="BO57" s="29"/>
      <c r="BP57" s="29"/>
      <c r="BQ57" s="29"/>
      <c r="BR57" s="29"/>
      <c r="BS57" s="29"/>
    </row>
    <row r="58" spans="6:71" x14ac:dyDescent="0.3">
      <c r="F58" s="27"/>
      <c r="G58" s="27"/>
      <c r="H58" s="27"/>
      <c r="I58" s="27"/>
      <c r="J58" s="27"/>
      <c r="K58" s="27"/>
      <c r="L58" s="27"/>
      <c r="M58" s="27"/>
      <c r="N58" s="27"/>
      <c r="O58" s="27"/>
      <c r="P58" s="27"/>
      <c r="Q58" s="27"/>
      <c r="S58" s="27"/>
      <c r="T58" s="27"/>
      <c r="U58" s="27"/>
      <c r="V58" s="27"/>
      <c r="W58" s="27"/>
      <c r="X58" s="27"/>
      <c r="Y58" s="27"/>
      <c r="Z58" s="27"/>
      <c r="AA58" s="27"/>
      <c r="AB58" s="27"/>
      <c r="AC58" s="27"/>
      <c r="AD58" s="27"/>
      <c r="AF58" s="27"/>
      <c r="AG58" s="27"/>
      <c r="AH58" s="27"/>
      <c r="AI58" s="27"/>
      <c r="AJ58" s="27"/>
      <c r="AK58" s="27"/>
      <c r="AL58" s="27"/>
      <c r="AM58" s="27"/>
      <c r="AN58" s="27"/>
      <c r="AO58" s="27"/>
      <c r="AP58" s="27"/>
      <c r="AQ58" s="27"/>
      <c r="AS58" s="27"/>
      <c r="AT58" s="27"/>
      <c r="AU58" s="27"/>
      <c r="AV58" s="27"/>
      <c r="AW58" s="27"/>
      <c r="AX58" s="27"/>
      <c r="AY58" s="27"/>
      <c r="AZ58" s="27"/>
      <c r="BA58" s="27"/>
      <c r="BB58" s="27"/>
      <c r="BC58" s="27"/>
      <c r="BI58" s="29"/>
      <c r="BJ58" s="29"/>
      <c r="BK58" s="29"/>
      <c r="BL58" s="29"/>
      <c r="BM58" s="29"/>
      <c r="BO58" s="29"/>
      <c r="BP58" s="29"/>
      <c r="BQ58" s="29"/>
      <c r="BR58" s="29"/>
      <c r="BS58" s="29"/>
    </row>
    <row r="59" spans="6:71" x14ac:dyDescent="0.3">
      <c r="F59" s="27"/>
      <c r="G59" s="27"/>
      <c r="H59" s="27"/>
      <c r="I59" s="27"/>
      <c r="J59" s="27"/>
      <c r="K59" s="27"/>
      <c r="L59" s="27"/>
      <c r="M59" s="27"/>
      <c r="N59" s="27"/>
      <c r="O59" s="27"/>
      <c r="P59" s="27"/>
      <c r="Q59" s="27"/>
      <c r="S59" s="27"/>
      <c r="T59" s="27"/>
      <c r="U59" s="27"/>
      <c r="V59" s="27"/>
      <c r="W59" s="27"/>
      <c r="X59" s="27"/>
      <c r="Y59" s="27"/>
      <c r="Z59" s="27"/>
      <c r="AA59" s="27"/>
      <c r="AB59" s="27"/>
      <c r="AC59" s="27"/>
      <c r="AD59" s="27"/>
      <c r="AF59" s="27"/>
      <c r="AG59" s="27"/>
      <c r="AH59" s="27"/>
      <c r="AI59" s="27"/>
      <c r="AJ59" s="27"/>
      <c r="AK59" s="27"/>
      <c r="AL59" s="27"/>
      <c r="AM59" s="27"/>
      <c r="AN59" s="27"/>
      <c r="AO59" s="27"/>
      <c r="AP59" s="27"/>
      <c r="AQ59" s="27"/>
      <c r="AS59" s="27"/>
      <c r="AT59" s="27"/>
      <c r="AU59" s="27"/>
      <c r="AV59" s="27"/>
      <c r="AW59" s="27"/>
      <c r="AX59" s="27"/>
      <c r="AY59" s="27"/>
      <c r="AZ59" s="27"/>
      <c r="BA59" s="27"/>
      <c r="BB59" s="27"/>
      <c r="BC59" s="27"/>
      <c r="BI59" s="29"/>
      <c r="BJ59" s="29"/>
      <c r="BK59" s="29"/>
      <c r="BL59" s="29"/>
      <c r="BM59" s="29"/>
      <c r="BO59" s="29"/>
      <c r="BP59" s="29"/>
      <c r="BQ59" s="29"/>
      <c r="BR59" s="29"/>
      <c r="BS59" s="29"/>
    </row>
    <row r="60" spans="6:71" x14ac:dyDescent="0.3">
      <c r="BI60" s="29"/>
      <c r="BJ60" s="29"/>
      <c r="BK60" s="29"/>
      <c r="BL60" s="29"/>
      <c r="BM60" s="29"/>
      <c r="BO60" s="29"/>
      <c r="BP60" s="29"/>
      <c r="BQ60" s="29"/>
      <c r="BR60" s="29"/>
      <c r="BS60" s="29"/>
    </row>
    <row r="64" spans="6:71" x14ac:dyDescent="0.3">
      <c r="BI64" s="29"/>
      <c r="BJ64" s="29"/>
      <c r="BK64" s="29"/>
      <c r="BL64" s="29"/>
      <c r="BM64" s="29"/>
      <c r="BO64" s="29"/>
      <c r="BP64" s="29"/>
      <c r="BQ64" s="29"/>
      <c r="BR64" s="29"/>
      <c r="BS64" s="29"/>
    </row>
    <row r="65" spans="6:71" x14ac:dyDescent="0.3">
      <c r="BI65" s="29"/>
      <c r="BJ65" s="29"/>
      <c r="BK65" s="29"/>
      <c r="BL65" s="29"/>
      <c r="BM65" s="29"/>
      <c r="BO65" s="29"/>
      <c r="BP65" s="29"/>
      <c r="BQ65" s="29"/>
      <c r="BR65" s="29"/>
      <c r="BS65" s="29"/>
    </row>
    <row r="66" spans="6:71" x14ac:dyDescent="0.3">
      <c r="F66" s="27"/>
      <c r="G66" s="27"/>
      <c r="H66" s="27"/>
      <c r="I66" s="27"/>
      <c r="J66" s="27"/>
      <c r="K66" s="27"/>
      <c r="L66" s="27"/>
      <c r="M66" s="27"/>
      <c r="N66" s="27"/>
      <c r="O66" s="27"/>
      <c r="P66" s="27"/>
      <c r="Q66" s="27"/>
      <c r="S66" s="27"/>
      <c r="T66" s="27"/>
      <c r="U66" s="27"/>
      <c r="V66" s="27"/>
      <c r="W66" s="27"/>
      <c r="X66" s="27"/>
      <c r="Y66" s="27"/>
      <c r="Z66" s="27"/>
      <c r="AA66" s="27"/>
      <c r="AB66" s="27"/>
      <c r="AC66" s="27"/>
      <c r="AD66" s="27"/>
      <c r="BI66" s="29"/>
      <c r="BJ66" s="29"/>
      <c r="BK66" s="29"/>
      <c r="BL66" s="29"/>
      <c r="BM66" s="29"/>
      <c r="BO66" s="29"/>
      <c r="BP66" s="29"/>
      <c r="BQ66" s="29"/>
      <c r="BR66" s="29"/>
      <c r="BS66" s="29"/>
    </row>
    <row r="67" spans="6:71" x14ac:dyDescent="0.3">
      <c r="F67" s="27"/>
      <c r="G67" s="27"/>
      <c r="H67" s="27"/>
      <c r="I67" s="27"/>
      <c r="J67" s="27"/>
      <c r="K67" s="27"/>
      <c r="L67" s="27"/>
      <c r="M67" s="27"/>
      <c r="N67" s="27"/>
      <c r="O67" s="27"/>
      <c r="P67" s="27"/>
      <c r="Q67" s="27"/>
      <c r="S67" s="27"/>
      <c r="T67" s="27"/>
      <c r="U67" s="27"/>
      <c r="V67" s="27"/>
      <c r="W67" s="27"/>
      <c r="X67" s="27"/>
      <c r="Y67" s="27"/>
      <c r="Z67" s="27"/>
      <c r="AA67" s="27"/>
      <c r="AB67" s="27"/>
      <c r="AC67" s="27"/>
      <c r="AD67" s="27"/>
      <c r="BI67" s="29"/>
      <c r="BJ67" s="29"/>
      <c r="BK67" s="29"/>
      <c r="BL67" s="29"/>
      <c r="BM67" s="29"/>
      <c r="BO67" s="29"/>
      <c r="BP67" s="29"/>
      <c r="BQ67" s="29"/>
      <c r="BR67" s="29"/>
      <c r="BS67" s="29"/>
    </row>
    <row r="68" spans="6:71" x14ac:dyDescent="0.3">
      <c r="F68" s="27"/>
      <c r="G68" s="27"/>
      <c r="H68" s="27"/>
      <c r="I68" s="27"/>
      <c r="J68" s="27"/>
      <c r="K68" s="27"/>
      <c r="L68" s="27"/>
      <c r="M68" s="27"/>
      <c r="N68" s="27"/>
      <c r="O68" s="27"/>
      <c r="P68" s="27"/>
      <c r="Q68" s="27"/>
      <c r="S68" s="27"/>
      <c r="T68" s="27"/>
      <c r="U68" s="27"/>
      <c r="V68" s="27"/>
      <c r="W68" s="27"/>
      <c r="X68" s="27"/>
      <c r="Y68" s="27"/>
      <c r="Z68" s="27"/>
      <c r="AA68" s="27"/>
      <c r="AB68" s="27"/>
      <c r="AC68" s="27"/>
      <c r="AD68" s="27"/>
      <c r="BI68" s="29"/>
      <c r="BJ68" s="29"/>
      <c r="BK68" s="29"/>
      <c r="BL68" s="29"/>
      <c r="BM68" s="29"/>
      <c r="BO68" s="29"/>
      <c r="BP68" s="29"/>
      <c r="BQ68" s="29"/>
      <c r="BR68" s="29"/>
      <c r="BS68" s="29"/>
    </row>
    <row r="69" spans="6:71" x14ac:dyDescent="0.3">
      <c r="F69" s="27"/>
      <c r="G69" s="27"/>
      <c r="H69" s="27"/>
      <c r="I69" s="27"/>
      <c r="J69" s="27"/>
      <c r="K69" s="27"/>
      <c r="L69" s="27"/>
      <c r="M69" s="27"/>
      <c r="N69" s="27"/>
      <c r="O69" s="27"/>
      <c r="P69" s="27"/>
      <c r="Q69" s="27"/>
      <c r="S69" s="27"/>
      <c r="T69" s="27"/>
      <c r="U69" s="27"/>
      <c r="V69" s="27"/>
      <c r="W69" s="27"/>
      <c r="X69" s="27"/>
      <c r="Y69" s="27"/>
      <c r="Z69" s="27"/>
      <c r="AA69" s="27"/>
      <c r="AB69" s="27"/>
      <c r="AC69" s="27"/>
      <c r="AD69" s="27"/>
      <c r="BI69" s="29"/>
      <c r="BJ69" s="29"/>
      <c r="BK69" s="29"/>
      <c r="BL69" s="29"/>
      <c r="BM69" s="29"/>
      <c r="BO69" s="29"/>
      <c r="BP69" s="29"/>
      <c r="BQ69" s="29"/>
      <c r="BR69" s="29"/>
      <c r="BS69" s="29"/>
    </row>
    <row r="70" spans="6:71" x14ac:dyDescent="0.3">
      <c r="F70" s="27"/>
      <c r="G70" s="27"/>
      <c r="H70" s="27"/>
      <c r="I70" s="27"/>
      <c r="J70" s="27"/>
      <c r="K70" s="27"/>
      <c r="L70" s="27"/>
      <c r="M70" s="27"/>
      <c r="N70" s="27"/>
      <c r="O70" s="27"/>
      <c r="P70" s="27"/>
      <c r="Q70" s="27"/>
      <c r="S70" s="27"/>
      <c r="T70" s="27"/>
      <c r="U70" s="27"/>
      <c r="V70" s="27"/>
      <c r="W70" s="27"/>
      <c r="X70" s="27"/>
      <c r="Y70" s="27"/>
      <c r="Z70" s="27"/>
      <c r="AA70" s="27"/>
      <c r="AB70" s="27"/>
      <c r="AC70" s="27"/>
      <c r="AD70" s="27"/>
      <c r="BI70" s="29"/>
      <c r="BJ70" s="29"/>
      <c r="BK70" s="29"/>
      <c r="BL70" s="29"/>
      <c r="BM70" s="29"/>
      <c r="BO70" s="29"/>
      <c r="BP70" s="29"/>
      <c r="BQ70" s="29"/>
      <c r="BR70" s="29"/>
      <c r="BS70" s="29"/>
    </row>
    <row r="71" spans="6:71" x14ac:dyDescent="0.3">
      <c r="F71" s="27"/>
      <c r="G71" s="27"/>
      <c r="H71" s="27"/>
      <c r="I71" s="27"/>
      <c r="J71" s="27"/>
      <c r="K71" s="27"/>
      <c r="L71" s="27"/>
      <c r="M71" s="27"/>
      <c r="N71" s="27"/>
      <c r="O71" s="27"/>
      <c r="P71" s="27"/>
      <c r="Q71" s="27"/>
      <c r="S71" s="27"/>
      <c r="T71" s="27"/>
      <c r="U71" s="27"/>
      <c r="V71" s="27"/>
      <c r="W71" s="27"/>
      <c r="X71" s="27"/>
      <c r="Y71" s="27"/>
      <c r="Z71" s="27"/>
      <c r="AA71" s="27"/>
      <c r="AB71" s="27"/>
      <c r="AC71" s="27"/>
      <c r="AD71" s="27"/>
    </row>
    <row r="72" spans="6:71" x14ac:dyDescent="0.3">
      <c r="F72" s="27"/>
      <c r="G72" s="27"/>
      <c r="H72" s="27"/>
      <c r="I72" s="27"/>
      <c r="J72" s="27"/>
      <c r="K72" s="27"/>
      <c r="L72" s="27"/>
      <c r="M72" s="27"/>
      <c r="N72" s="27"/>
      <c r="O72" s="27"/>
      <c r="P72" s="27"/>
      <c r="Q72" s="27"/>
      <c r="S72" s="27"/>
      <c r="T72" s="27"/>
      <c r="U72" s="27"/>
      <c r="V72" s="27"/>
      <c r="W72" s="27"/>
      <c r="X72" s="27"/>
      <c r="Y72" s="27"/>
      <c r="Z72" s="27"/>
      <c r="AA72" s="27"/>
      <c r="AB72" s="27"/>
      <c r="AC72" s="27"/>
      <c r="AD72" s="27"/>
    </row>
    <row r="73" spans="6:71" x14ac:dyDescent="0.3">
      <c r="F73" s="27"/>
      <c r="G73" s="27"/>
      <c r="H73" s="27"/>
      <c r="I73" s="27"/>
      <c r="J73" s="27"/>
      <c r="K73" s="27"/>
      <c r="L73" s="27"/>
      <c r="M73" s="27"/>
      <c r="N73" s="27"/>
      <c r="O73" s="27"/>
      <c r="P73" s="27"/>
      <c r="Q73" s="27"/>
      <c r="S73" s="27"/>
      <c r="T73" s="27"/>
      <c r="U73" s="27"/>
      <c r="V73" s="27"/>
      <c r="W73" s="27"/>
      <c r="X73" s="27"/>
      <c r="Y73" s="27"/>
      <c r="Z73" s="27"/>
      <c r="AA73" s="27"/>
      <c r="AB73" s="27"/>
      <c r="AC73" s="27"/>
      <c r="AD73" s="27"/>
    </row>
    <row r="74" spans="6:71" x14ac:dyDescent="0.3">
      <c r="F74" s="27"/>
      <c r="G74" s="27"/>
      <c r="H74" s="27"/>
      <c r="I74" s="27"/>
      <c r="J74" s="27"/>
      <c r="K74" s="27"/>
      <c r="L74" s="27"/>
      <c r="M74" s="27"/>
      <c r="N74" s="27"/>
      <c r="O74" s="27"/>
      <c r="P74" s="27"/>
      <c r="Q74" s="27"/>
      <c r="S74" s="27"/>
      <c r="T74" s="27"/>
      <c r="U74" s="27"/>
      <c r="V74" s="27"/>
      <c r="W74" s="27"/>
      <c r="X74" s="27"/>
      <c r="Y74" s="27"/>
      <c r="Z74" s="27"/>
      <c r="AA74" s="27"/>
      <c r="AB74" s="27"/>
      <c r="AC74" s="27"/>
      <c r="AD74" s="27"/>
    </row>
    <row r="75" spans="6:71" x14ac:dyDescent="0.3">
      <c r="F75" s="27"/>
      <c r="G75" s="27"/>
      <c r="H75" s="27"/>
      <c r="I75" s="27"/>
      <c r="J75" s="27"/>
      <c r="K75" s="27"/>
      <c r="L75" s="27"/>
      <c r="M75" s="27"/>
      <c r="N75" s="27"/>
      <c r="O75" s="27"/>
      <c r="P75" s="27"/>
      <c r="Q75" s="27"/>
      <c r="S75" s="27"/>
      <c r="T75" s="27"/>
      <c r="U75" s="27"/>
      <c r="V75" s="27"/>
      <c r="W75" s="27"/>
      <c r="X75" s="27"/>
      <c r="Y75" s="27"/>
      <c r="Z75" s="27"/>
      <c r="AA75" s="27"/>
      <c r="AB75" s="27"/>
      <c r="AC75" s="27"/>
      <c r="AD75" s="27"/>
    </row>
    <row r="76" spans="6:71" x14ac:dyDescent="0.3">
      <c r="F76" s="27"/>
      <c r="G76" s="27"/>
      <c r="H76" s="27"/>
      <c r="I76" s="27"/>
      <c r="J76" s="27"/>
      <c r="K76" s="27"/>
      <c r="L76" s="27"/>
      <c r="M76" s="27"/>
      <c r="N76" s="27"/>
      <c r="O76" s="27"/>
      <c r="P76" s="27"/>
      <c r="Q76" s="27"/>
      <c r="S76" s="27"/>
      <c r="T76" s="27"/>
      <c r="U76" s="27"/>
      <c r="V76" s="27"/>
      <c r="W76" s="27"/>
      <c r="X76" s="27"/>
      <c r="Y76" s="27"/>
      <c r="Z76" s="27"/>
      <c r="AA76" s="27"/>
      <c r="AB76" s="27"/>
      <c r="AC76" s="27"/>
      <c r="AD76" s="27"/>
    </row>
    <row r="77" spans="6:71" x14ac:dyDescent="0.3">
      <c r="F77" s="27"/>
      <c r="G77" s="27"/>
      <c r="H77" s="27"/>
      <c r="I77" s="27"/>
      <c r="J77" s="27"/>
      <c r="K77" s="27"/>
      <c r="L77" s="27"/>
      <c r="M77" s="27"/>
      <c r="N77" s="27"/>
      <c r="O77" s="27"/>
      <c r="P77" s="27"/>
      <c r="Q77" s="27"/>
      <c r="S77" s="27"/>
      <c r="T77" s="27"/>
      <c r="U77" s="27"/>
      <c r="V77" s="27"/>
      <c r="W77" s="27"/>
      <c r="X77" s="27"/>
      <c r="Y77" s="27"/>
      <c r="Z77" s="27"/>
      <c r="AA77" s="27"/>
      <c r="AB77" s="27"/>
      <c r="AC77" s="27"/>
      <c r="AD77" s="27"/>
    </row>
    <row r="78" spans="6:71" x14ac:dyDescent="0.3">
      <c r="F78" s="27"/>
      <c r="G78" s="27"/>
      <c r="H78" s="27"/>
      <c r="I78" s="27"/>
      <c r="J78" s="27"/>
      <c r="K78" s="27"/>
      <c r="L78" s="27"/>
      <c r="M78" s="27"/>
      <c r="N78" s="27"/>
      <c r="O78" s="27"/>
      <c r="P78" s="27"/>
      <c r="Q78" s="27"/>
      <c r="S78" s="27"/>
      <c r="T78" s="27"/>
      <c r="U78" s="27"/>
      <c r="V78" s="27"/>
      <c r="W78" s="27"/>
      <c r="X78" s="27"/>
      <c r="Y78" s="27"/>
      <c r="Z78" s="27"/>
      <c r="AA78" s="27"/>
      <c r="AB78" s="27"/>
      <c r="AC78" s="27"/>
      <c r="AD78" s="27"/>
    </row>
    <row r="79" spans="6:71" x14ac:dyDescent="0.3">
      <c r="F79" s="27"/>
      <c r="G79" s="27"/>
      <c r="H79" s="27"/>
      <c r="I79" s="27"/>
      <c r="J79" s="27"/>
      <c r="K79" s="27"/>
      <c r="L79" s="27"/>
      <c r="M79" s="27"/>
      <c r="N79" s="27"/>
      <c r="O79" s="27"/>
      <c r="P79" s="27"/>
      <c r="Q79" s="27"/>
      <c r="S79" s="27"/>
      <c r="T79" s="27"/>
      <c r="U79" s="27"/>
      <c r="V79" s="27"/>
      <c r="W79" s="27"/>
      <c r="X79" s="27"/>
      <c r="Y79" s="27"/>
      <c r="Z79" s="27"/>
      <c r="AA79" s="27"/>
      <c r="AB79" s="27"/>
      <c r="AC79" s="27"/>
      <c r="AD79" s="27"/>
    </row>
    <row r="80" spans="6:71" x14ac:dyDescent="0.3">
      <c r="F80" s="27"/>
      <c r="G80" s="27"/>
      <c r="H80" s="27"/>
      <c r="I80" s="27"/>
      <c r="J80" s="27"/>
      <c r="K80" s="27"/>
      <c r="L80" s="27"/>
      <c r="M80" s="27"/>
      <c r="N80" s="27"/>
      <c r="O80" s="27"/>
      <c r="P80" s="27"/>
      <c r="Q80" s="27"/>
      <c r="S80" s="27"/>
      <c r="T80" s="27"/>
      <c r="U80" s="27"/>
      <c r="V80" s="27"/>
      <c r="W80" s="27"/>
      <c r="X80" s="27"/>
      <c r="Y80" s="27"/>
      <c r="Z80" s="27"/>
      <c r="AA80" s="27"/>
      <c r="AB80" s="27"/>
      <c r="AC80" s="27"/>
      <c r="AD80" s="27"/>
    </row>
    <row r="81" spans="6:30" x14ac:dyDescent="0.3">
      <c r="F81" s="27"/>
      <c r="G81" s="27"/>
      <c r="H81" s="27"/>
      <c r="I81" s="27"/>
      <c r="J81" s="27"/>
      <c r="K81" s="27"/>
      <c r="L81" s="27"/>
      <c r="M81" s="27"/>
      <c r="N81" s="27"/>
      <c r="O81" s="27"/>
      <c r="P81" s="27"/>
      <c r="Q81" s="27"/>
      <c r="S81" s="27"/>
      <c r="T81" s="27"/>
      <c r="U81" s="27"/>
      <c r="V81" s="27"/>
      <c r="W81" s="27"/>
      <c r="X81" s="27"/>
      <c r="Y81" s="27"/>
      <c r="Z81" s="27"/>
      <c r="AA81" s="27"/>
      <c r="AB81" s="27"/>
      <c r="AC81" s="27"/>
      <c r="AD81" s="27"/>
    </row>
    <row r="82" spans="6:30" x14ac:dyDescent="0.3">
      <c r="F82" s="27"/>
      <c r="G82" s="27"/>
      <c r="H82" s="27"/>
      <c r="I82" s="27"/>
      <c r="J82" s="27"/>
      <c r="K82" s="27"/>
      <c r="L82" s="27"/>
      <c r="M82" s="27"/>
      <c r="N82" s="27"/>
      <c r="O82" s="27"/>
      <c r="P82" s="27"/>
      <c r="Q82" s="27"/>
      <c r="S82" s="27"/>
      <c r="T82" s="27"/>
      <c r="U82" s="27"/>
      <c r="V82" s="27"/>
      <c r="W82" s="27"/>
      <c r="X82" s="27"/>
      <c r="Y82" s="27"/>
      <c r="Z82" s="27"/>
      <c r="AA82" s="27"/>
      <c r="AB82" s="27"/>
      <c r="AC82" s="27"/>
      <c r="AD82" s="27"/>
    </row>
    <row r="83" spans="6:30" x14ac:dyDescent="0.3">
      <c r="F83" s="27"/>
      <c r="G83" s="27"/>
      <c r="H83" s="27"/>
      <c r="I83" s="27"/>
      <c r="J83" s="27"/>
      <c r="K83" s="27"/>
      <c r="L83" s="27"/>
      <c r="M83" s="27"/>
      <c r="N83" s="27"/>
      <c r="O83" s="27"/>
      <c r="P83" s="27"/>
      <c r="Q83" s="27"/>
      <c r="S83" s="27"/>
      <c r="T83" s="27"/>
      <c r="U83" s="27"/>
      <c r="V83" s="27"/>
      <c r="W83" s="27"/>
      <c r="X83" s="27"/>
      <c r="Y83" s="27"/>
      <c r="Z83" s="27"/>
      <c r="AA83" s="27"/>
      <c r="AB83" s="27"/>
      <c r="AC83" s="27"/>
      <c r="AD83" s="27"/>
    </row>
    <row r="84" spans="6:30" x14ac:dyDescent="0.3">
      <c r="F84" s="27"/>
      <c r="G84" s="27"/>
      <c r="H84" s="27"/>
      <c r="I84" s="27"/>
      <c r="J84" s="27"/>
      <c r="K84" s="27"/>
      <c r="L84" s="27"/>
      <c r="M84" s="27"/>
      <c r="N84" s="27"/>
      <c r="O84" s="27"/>
      <c r="P84" s="27"/>
      <c r="Q84" s="27"/>
      <c r="S84" s="27"/>
      <c r="T84" s="27"/>
      <c r="U84" s="27"/>
      <c r="V84" s="27"/>
      <c r="W84" s="27"/>
      <c r="X84" s="27"/>
      <c r="Y84" s="27"/>
      <c r="Z84" s="27"/>
      <c r="AA84" s="27"/>
      <c r="AB84" s="27"/>
      <c r="AC84" s="27"/>
      <c r="AD84" s="27"/>
    </row>
    <row r="85" spans="6:30" x14ac:dyDescent="0.3">
      <c r="F85" s="27"/>
      <c r="G85" s="27"/>
      <c r="H85" s="27"/>
      <c r="I85" s="27"/>
      <c r="J85" s="27"/>
      <c r="K85" s="27"/>
      <c r="L85" s="27"/>
      <c r="M85" s="27"/>
      <c r="N85" s="27"/>
      <c r="O85" s="27"/>
      <c r="P85" s="27"/>
      <c r="Q85" s="27"/>
      <c r="S85" s="27"/>
      <c r="T85" s="27"/>
      <c r="U85" s="27"/>
      <c r="V85" s="27"/>
      <c r="W85" s="27"/>
      <c r="X85" s="27"/>
      <c r="Y85" s="27"/>
      <c r="Z85" s="27"/>
      <c r="AA85" s="27"/>
      <c r="AB85" s="27"/>
      <c r="AC85" s="27"/>
      <c r="AD85" s="27"/>
    </row>
    <row r="86" spans="6:30" x14ac:dyDescent="0.3">
      <c r="F86" s="27"/>
      <c r="G86" s="27"/>
      <c r="H86" s="27"/>
      <c r="I86" s="27"/>
      <c r="J86" s="27"/>
      <c r="K86" s="27"/>
      <c r="L86" s="27"/>
      <c r="M86" s="27"/>
      <c r="N86" s="27"/>
      <c r="O86" s="27"/>
      <c r="P86" s="27"/>
      <c r="Q86" s="27"/>
      <c r="S86" s="27"/>
      <c r="T86" s="27"/>
      <c r="U86" s="27"/>
      <c r="V86" s="27"/>
      <c r="W86" s="27"/>
      <c r="X86" s="27"/>
      <c r="Y86" s="27"/>
      <c r="Z86" s="27"/>
      <c r="AA86" s="27"/>
      <c r="AB86" s="27"/>
      <c r="AC86" s="27"/>
      <c r="AD86" s="27"/>
    </row>
  </sheetData>
  <mergeCells count="23">
    <mergeCell ref="BI64:BM70"/>
    <mergeCell ref="BO64:BS70"/>
    <mergeCell ref="F2:BT2"/>
    <mergeCell ref="BO33:BS39"/>
    <mergeCell ref="BI33:BM39"/>
    <mergeCell ref="BI43:BM50"/>
    <mergeCell ref="BO43:BS50"/>
    <mergeCell ref="BI54:BM60"/>
    <mergeCell ref="BO54:BS60"/>
    <mergeCell ref="AF40:AQ59"/>
    <mergeCell ref="AS40:BC59"/>
    <mergeCell ref="F66:Q86"/>
    <mergeCell ref="S66:AD86"/>
    <mergeCell ref="BI13:BM19"/>
    <mergeCell ref="BO13:BS19"/>
    <mergeCell ref="BI23:BM29"/>
    <mergeCell ref="BO23:BS29"/>
    <mergeCell ref="F13:Q32"/>
    <mergeCell ref="S13:AD32"/>
    <mergeCell ref="AF13:AQ32"/>
    <mergeCell ref="AS13:BC32"/>
    <mergeCell ref="F40:Q59"/>
    <mergeCell ref="S40:AD5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3614-F274-46FA-B045-4315865F525F}">
  <dimension ref="A3:B16"/>
  <sheetViews>
    <sheetView workbookViewId="0">
      <selection activeCell="AM67" sqref="AM67"/>
    </sheetView>
  </sheetViews>
  <sheetFormatPr defaultRowHeight="14.4" x14ac:dyDescent="0.3"/>
  <cols>
    <col min="1" max="1" width="20" bestFit="1" customWidth="1"/>
    <col min="2" max="2" width="22.5546875" bestFit="1" customWidth="1"/>
  </cols>
  <sheetData>
    <row r="3" spans="1:2" x14ac:dyDescent="0.3">
      <c r="A3" s="6" t="s">
        <v>2790</v>
      </c>
      <c r="B3" t="s">
        <v>2792</v>
      </c>
    </row>
    <row r="4" spans="1:2" x14ac:dyDescent="0.3">
      <c r="A4" s="7" t="s">
        <v>0</v>
      </c>
      <c r="B4" s="2">
        <v>10374825.905999999</v>
      </c>
    </row>
    <row r="5" spans="1:2" x14ac:dyDescent="0.3">
      <c r="A5" s="7" t="s">
        <v>2</v>
      </c>
      <c r="B5" s="2">
        <v>10165164.999000005</v>
      </c>
    </row>
    <row r="6" spans="1:2" x14ac:dyDescent="0.3">
      <c r="A6" s="7" t="s">
        <v>4</v>
      </c>
      <c r="B6" s="2">
        <v>10651512.356000002</v>
      </c>
    </row>
    <row r="7" spans="1:2" x14ac:dyDescent="0.3">
      <c r="A7" s="7" t="s">
        <v>17</v>
      </c>
      <c r="B7" s="2">
        <v>9934489.5230000019</v>
      </c>
    </row>
    <row r="8" spans="1:2" x14ac:dyDescent="0.3">
      <c r="A8" s="7" t="s">
        <v>14</v>
      </c>
      <c r="B8" s="2">
        <v>9531893.2409999985</v>
      </c>
    </row>
    <row r="9" spans="1:2" x14ac:dyDescent="0.3">
      <c r="A9" s="7" t="s">
        <v>10</v>
      </c>
      <c r="B9" s="2">
        <v>8906814.3179999962</v>
      </c>
    </row>
    <row r="10" spans="1:2" x14ac:dyDescent="0.3">
      <c r="A10" s="7" t="s">
        <v>8</v>
      </c>
      <c r="B10" s="2">
        <v>8291132.4050000012</v>
      </c>
    </row>
    <row r="11" spans="1:2" x14ac:dyDescent="0.3">
      <c r="A11" s="7" t="s">
        <v>12</v>
      </c>
      <c r="B11" s="2">
        <v>8936654.8469999973</v>
      </c>
    </row>
    <row r="12" spans="1:2" x14ac:dyDescent="0.3">
      <c r="A12" s="7" t="s">
        <v>6</v>
      </c>
      <c r="B12" s="2">
        <v>8898658.0510000009</v>
      </c>
    </row>
    <row r="13" spans="1:2" x14ac:dyDescent="0.3">
      <c r="A13" s="7" t="s">
        <v>16</v>
      </c>
      <c r="B13" s="2">
        <v>8122862.0210000006</v>
      </c>
    </row>
    <row r="14" spans="1:2" x14ac:dyDescent="0.3">
      <c r="A14" s="7" t="s">
        <v>13</v>
      </c>
      <c r="B14" s="2">
        <v>9027555.7770000007</v>
      </c>
    </row>
    <row r="15" spans="1:2" x14ac:dyDescent="0.3">
      <c r="A15" s="7" t="s">
        <v>15</v>
      </c>
      <c r="B15" s="2">
        <v>8821021.4089999963</v>
      </c>
    </row>
    <row r="16" spans="1:2" x14ac:dyDescent="0.3">
      <c r="A16" s="7" t="s">
        <v>2791</v>
      </c>
      <c r="B16" s="2">
        <v>111662584.85299999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70B9-FAAC-433F-98A0-F32D21B1372A}">
  <dimension ref="A3:B10"/>
  <sheetViews>
    <sheetView workbookViewId="0">
      <selection activeCell="BA37" sqref="BA37"/>
    </sheetView>
  </sheetViews>
  <sheetFormatPr defaultRowHeight="14.4" x14ac:dyDescent="0.3"/>
  <cols>
    <col min="1" max="1" width="17.44140625" bestFit="1" customWidth="1"/>
    <col min="2" max="2" width="22.5546875" bestFit="1" customWidth="1"/>
  </cols>
  <sheetData>
    <row r="3" spans="1:2" x14ac:dyDescent="0.3">
      <c r="A3" s="6" t="s">
        <v>2790</v>
      </c>
      <c r="B3" t="s">
        <v>2792</v>
      </c>
    </row>
    <row r="4" spans="1:2" x14ac:dyDescent="0.3">
      <c r="A4" s="7" t="s">
        <v>1</v>
      </c>
      <c r="B4" s="2">
        <v>17136479.271000002</v>
      </c>
    </row>
    <row r="5" spans="1:2" x14ac:dyDescent="0.3">
      <c r="A5" s="7" t="s">
        <v>3</v>
      </c>
      <c r="B5" s="2">
        <v>18798845.580000013</v>
      </c>
    </row>
    <row r="6" spans="1:2" x14ac:dyDescent="0.3">
      <c r="A6" s="7" t="s">
        <v>9</v>
      </c>
      <c r="B6" s="2">
        <v>17062033.543000005</v>
      </c>
    </row>
    <row r="7" spans="1:2" x14ac:dyDescent="0.3">
      <c r="A7" s="7" t="s">
        <v>7</v>
      </c>
      <c r="B7" s="2">
        <v>16689625.776999993</v>
      </c>
    </row>
    <row r="8" spans="1:2" x14ac:dyDescent="0.3">
      <c r="A8" s="7" t="s">
        <v>5</v>
      </c>
      <c r="B8" s="2">
        <v>20642735.432000004</v>
      </c>
    </row>
    <row r="9" spans="1:2" x14ac:dyDescent="0.3">
      <c r="A9" s="7" t="s">
        <v>11</v>
      </c>
      <c r="B9" s="2">
        <v>21332865.25</v>
      </c>
    </row>
    <row r="10" spans="1:2" x14ac:dyDescent="0.3">
      <c r="A10" s="7" t="s">
        <v>2791</v>
      </c>
      <c r="B10" s="2">
        <v>111662584.85300002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D05F-104B-4344-BBFA-702151D52BB0}">
  <dimension ref="A3:B7"/>
  <sheetViews>
    <sheetView topLeftCell="A2" workbookViewId="0">
      <selection activeCell="AX58" sqref="AX58"/>
    </sheetView>
  </sheetViews>
  <sheetFormatPr defaultRowHeight="14.4" x14ac:dyDescent="0.3"/>
  <cols>
    <col min="1" max="1" width="12.5546875" bestFit="1" customWidth="1"/>
    <col min="2" max="2" width="17.5546875" bestFit="1" customWidth="1"/>
  </cols>
  <sheetData>
    <row r="3" spans="1:2" x14ac:dyDescent="0.3">
      <c r="A3" s="6" t="s">
        <v>2790</v>
      </c>
      <c r="B3" t="s">
        <v>2793</v>
      </c>
    </row>
    <row r="4" spans="1:2" x14ac:dyDescent="0.3">
      <c r="A4" s="7" t="s">
        <v>26</v>
      </c>
      <c r="B4">
        <v>672</v>
      </c>
    </row>
    <row r="5" spans="1:2" x14ac:dyDescent="0.3">
      <c r="A5" s="7" t="s">
        <v>32</v>
      </c>
      <c r="B5">
        <v>158</v>
      </c>
    </row>
    <row r="6" spans="1:2" x14ac:dyDescent="0.3">
      <c r="A6" s="7" t="s">
        <v>29</v>
      </c>
      <c r="B6">
        <v>170</v>
      </c>
    </row>
    <row r="7" spans="1:2" x14ac:dyDescent="0.3">
      <c r="A7" s="7" t="s">
        <v>2791</v>
      </c>
      <c r="B7">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F76C7-9210-4118-90A2-13D27B32DEEE}">
  <dimension ref="A3:B9"/>
  <sheetViews>
    <sheetView topLeftCell="B1" workbookViewId="0">
      <selection activeCell="BB25" sqref="BB25"/>
    </sheetView>
  </sheetViews>
  <sheetFormatPr defaultRowHeight="14.4" x14ac:dyDescent="0.3"/>
  <cols>
    <col min="1" max="1" width="12.5546875" bestFit="1" customWidth="1"/>
    <col min="2" max="2" width="22.5546875" bestFit="1" customWidth="1"/>
  </cols>
  <sheetData>
    <row r="3" spans="1:2" x14ac:dyDescent="0.3">
      <c r="A3" s="6" t="s">
        <v>2790</v>
      </c>
      <c r="B3" t="s">
        <v>2792</v>
      </c>
    </row>
    <row r="4" spans="1:2" x14ac:dyDescent="0.3">
      <c r="A4" s="7" t="s">
        <v>18</v>
      </c>
      <c r="B4" s="2">
        <v>21209422.399999991</v>
      </c>
    </row>
    <row r="5" spans="1:2" x14ac:dyDescent="0.3">
      <c r="A5" s="7" t="s">
        <v>19</v>
      </c>
      <c r="B5" s="2">
        <v>47118407.599999994</v>
      </c>
    </row>
    <row r="6" spans="1:2" x14ac:dyDescent="0.3">
      <c r="A6" s="7" t="s">
        <v>20</v>
      </c>
      <c r="B6" s="2">
        <v>18647014.599999998</v>
      </c>
    </row>
    <row r="7" spans="1:2" x14ac:dyDescent="0.3">
      <c r="A7" s="7" t="s">
        <v>21</v>
      </c>
      <c r="B7" s="2">
        <v>12935567.5</v>
      </c>
    </row>
    <row r="8" spans="1:2" x14ac:dyDescent="0.3">
      <c r="A8" s="7" t="s">
        <v>22</v>
      </c>
      <c r="B8" s="2">
        <v>11752172.753</v>
      </c>
    </row>
    <row r="9" spans="1:2" x14ac:dyDescent="0.3">
      <c r="A9" s="7" t="s">
        <v>2791</v>
      </c>
      <c r="B9" s="2">
        <v>111662584.85299999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D7E0-A83B-4F83-A17D-9D914E4ABDED}">
  <dimension ref="A3:B10"/>
  <sheetViews>
    <sheetView workbookViewId="0">
      <selection activeCell="AQ70" sqref="AQ70"/>
    </sheetView>
  </sheetViews>
  <sheetFormatPr defaultRowHeight="14.4" x14ac:dyDescent="0.3"/>
  <cols>
    <col min="1" max="1" width="17.6640625" bestFit="1" customWidth="1"/>
    <col min="2" max="2" width="17.5546875" bestFit="1" customWidth="1"/>
  </cols>
  <sheetData>
    <row r="3" spans="1:2" x14ac:dyDescent="0.3">
      <c r="A3" s="6" t="s">
        <v>2790</v>
      </c>
      <c r="B3" t="s">
        <v>2793</v>
      </c>
    </row>
    <row r="4" spans="1:2" x14ac:dyDescent="0.3">
      <c r="A4" s="7" t="s">
        <v>33</v>
      </c>
      <c r="B4">
        <v>260</v>
      </c>
    </row>
    <row r="5" spans="1:2" x14ac:dyDescent="0.3">
      <c r="A5" s="7" t="s">
        <v>35</v>
      </c>
      <c r="B5">
        <v>139</v>
      </c>
    </row>
    <row r="6" spans="1:2" x14ac:dyDescent="0.3">
      <c r="A6" s="7" t="s">
        <v>37</v>
      </c>
      <c r="B6">
        <v>171</v>
      </c>
    </row>
    <row r="7" spans="1:2" x14ac:dyDescent="0.3">
      <c r="A7" s="7" t="s">
        <v>30</v>
      </c>
      <c r="B7">
        <v>195</v>
      </c>
    </row>
    <row r="8" spans="1:2" x14ac:dyDescent="0.3">
      <c r="A8" s="7" t="s">
        <v>39</v>
      </c>
      <c r="B8">
        <v>0</v>
      </c>
    </row>
    <row r="9" spans="1:2" x14ac:dyDescent="0.3">
      <c r="A9" s="7" t="s">
        <v>27</v>
      </c>
      <c r="B9">
        <v>235</v>
      </c>
    </row>
    <row r="10" spans="1:2" x14ac:dyDescent="0.3">
      <c r="A10" s="7" t="s">
        <v>2791</v>
      </c>
      <c r="B10">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3501-3028-4768-A505-20917F113EE7}">
  <dimension ref="A3:B10"/>
  <sheetViews>
    <sheetView workbookViewId="0">
      <selection activeCell="AL83" sqref="AL83"/>
    </sheetView>
  </sheetViews>
  <sheetFormatPr defaultRowHeight="14.4" x14ac:dyDescent="0.3"/>
  <cols>
    <col min="1" max="1" width="17.6640625" bestFit="1" customWidth="1"/>
    <col min="2" max="2" width="17.5546875" bestFit="1" customWidth="1"/>
  </cols>
  <sheetData>
    <row r="3" spans="1:2" x14ac:dyDescent="0.3">
      <c r="A3" s="6" t="s">
        <v>2790</v>
      </c>
      <c r="B3" t="s">
        <v>2793</v>
      </c>
    </row>
    <row r="4" spans="1:2" x14ac:dyDescent="0.3">
      <c r="A4" s="7" t="s">
        <v>33</v>
      </c>
      <c r="B4">
        <v>260</v>
      </c>
    </row>
    <row r="5" spans="1:2" x14ac:dyDescent="0.3">
      <c r="A5" s="7" t="s">
        <v>35</v>
      </c>
      <c r="B5">
        <v>139</v>
      </c>
    </row>
    <row r="6" spans="1:2" x14ac:dyDescent="0.3">
      <c r="A6" s="7" t="s">
        <v>37</v>
      </c>
      <c r="B6">
        <v>171</v>
      </c>
    </row>
    <row r="7" spans="1:2" x14ac:dyDescent="0.3">
      <c r="A7" s="7" t="s">
        <v>30</v>
      </c>
      <c r="B7">
        <v>195</v>
      </c>
    </row>
    <row r="8" spans="1:2" x14ac:dyDescent="0.3">
      <c r="A8" s="7" t="s">
        <v>39</v>
      </c>
      <c r="B8">
        <v>0</v>
      </c>
    </row>
    <row r="9" spans="1:2" x14ac:dyDescent="0.3">
      <c r="A9" s="7" t="s">
        <v>27</v>
      </c>
      <c r="B9">
        <v>235</v>
      </c>
    </row>
    <row r="10" spans="1:2" x14ac:dyDescent="0.3">
      <c r="A10" s="7" t="s">
        <v>2791</v>
      </c>
      <c r="B10">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CDB7C-CA13-4E0E-8C96-19E0CBA916B8}">
  <dimension ref="A3:D16"/>
  <sheetViews>
    <sheetView workbookViewId="0">
      <selection activeCell="AN65" sqref="AN65"/>
    </sheetView>
  </sheetViews>
  <sheetFormatPr defaultRowHeight="14.4" x14ac:dyDescent="0.3"/>
  <cols>
    <col min="1" max="1" width="20" bestFit="1" customWidth="1"/>
    <col min="2" max="2" width="17.5546875" bestFit="1" customWidth="1"/>
    <col min="3" max="3" width="22.5546875" bestFit="1" customWidth="1"/>
    <col min="4" max="4" width="22" bestFit="1" customWidth="1"/>
  </cols>
  <sheetData>
    <row r="3" spans="1:4" x14ac:dyDescent="0.3">
      <c r="A3" s="6" t="s">
        <v>2790</v>
      </c>
      <c r="B3" t="s">
        <v>2793</v>
      </c>
      <c r="C3" t="s">
        <v>2792</v>
      </c>
      <c r="D3" t="s">
        <v>2806</v>
      </c>
    </row>
    <row r="4" spans="1:4" x14ac:dyDescent="0.3">
      <c r="A4" s="7" t="s">
        <v>0</v>
      </c>
      <c r="B4">
        <v>96</v>
      </c>
      <c r="C4" s="2">
        <v>10374825.905999999</v>
      </c>
      <c r="D4" s="8">
        <v>8.7812499999999982</v>
      </c>
    </row>
    <row r="5" spans="1:4" x14ac:dyDescent="0.3">
      <c r="A5" s="7" t="s">
        <v>2</v>
      </c>
      <c r="B5">
        <v>88</v>
      </c>
      <c r="C5" s="2">
        <v>10165164.999000005</v>
      </c>
      <c r="D5" s="8">
        <v>9.0431818181818127</v>
      </c>
    </row>
    <row r="6" spans="1:4" x14ac:dyDescent="0.3">
      <c r="A6" s="7" t="s">
        <v>4</v>
      </c>
      <c r="B6">
        <v>95</v>
      </c>
      <c r="C6" s="2">
        <v>10651512.356000002</v>
      </c>
      <c r="D6" s="8">
        <v>8.56</v>
      </c>
    </row>
    <row r="7" spans="1:4" x14ac:dyDescent="0.3">
      <c r="A7" s="7" t="s">
        <v>17</v>
      </c>
      <c r="B7">
        <v>86</v>
      </c>
      <c r="C7" s="2">
        <v>9934489.5230000019</v>
      </c>
      <c r="D7" s="8">
        <v>9.3720930232558111</v>
      </c>
    </row>
    <row r="8" spans="1:4" x14ac:dyDescent="0.3">
      <c r="A8" s="7" t="s">
        <v>14</v>
      </c>
      <c r="B8">
        <v>91</v>
      </c>
      <c r="C8" s="2">
        <v>9531893.2409999985</v>
      </c>
      <c r="D8" s="8">
        <v>9.6186813186813165</v>
      </c>
    </row>
    <row r="9" spans="1:4" x14ac:dyDescent="0.3">
      <c r="A9" s="7" t="s">
        <v>10</v>
      </c>
      <c r="B9">
        <v>80</v>
      </c>
      <c r="C9" s="2">
        <v>8906814.3179999962</v>
      </c>
      <c r="D9" s="8">
        <v>8.7900000000000027</v>
      </c>
    </row>
    <row r="10" spans="1:4" x14ac:dyDescent="0.3">
      <c r="A10" s="7" t="s">
        <v>8</v>
      </c>
      <c r="B10">
        <v>74</v>
      </c>
      <c r="C10" s="2">
        <v>8291132.4050000012</v>
      </c>
      <c r="D10" s="8">
        <v>8.8067567567567568</v>
      </c>
    </row>
    <row r="11" spans="1:4" x14ac:dyDescent="0.3">
      <c r="A11" s="7" t="s">
        <v>12</v>
      </c>
      <c r="B11">
        <v>80</v>
      </c>
      <c r="C11" s="2">
        <v>8936654.8469999973</v>
      </c>
      <c r="D11" s="8">
        <v>9.7687500000000007</v>
      </c>
    </row>
    <row r="12" spans="1:4" x14ac:dyDescent="0.3">
      <c r="A12" s="7" t="s">
        <v>6</v>
      </c>
      <c r="B12">
        <v>79</v>
      </c>
      <c r="C12" s="2">
        <v>8898658.0510000009</v>
      </c>
      <c r="D12" s="8">
        <v>8.6278481012658261</v>
      </c>
    </row>
    <row r="13" spans="1:4" x14ac:dyDescent="0.3">
      <c r="A13" s="7" t="s">
        <v>16</v>
      </c>
      <c r="B13">
        <v>72</v>
      </c>
      <c r="C13" s="2">
        <v>8122862.0210000006</v>
      </c>
      <c r="D13" s="8">
        <v>8.2986111111111125</v>
      </c>
    </row>
    <row r="14" spans="1:4" x14ac:dyDescent="0.3">
      <c r="A14" s="7" t="s">
        <v>13</v>
      </c>
      <c r="B14">
        <v>77</v>
      </c>
      <c r="C14" s="2">
        <v>9027555.7770000007</v>
      </c>
      <c r="D14" s="8">
        <v>9.1116883116883098</v>
      </c>
    </row>
    <row r="15" spans="1:4" x14ac:dyDescent="0.3">
      <c r="A15" s="7" t="s">
        <v>15</v>
      </c>
      <c r="B15">
        <v>82</v>
      </c>
      <c r="C15" s="2">
        <v>8821021.4089999963</v>
      </c>
      <c r="D15" s="8">
        <v>8.7902439024390233</v>
      </c>
    </row>
    <row r="16" spans="1:4" x14ac:dyDescent="0.3">
      <c r="A16" s="7" t="s">
        <v>2791</v>
      </c>
      <c r="B16">
        <v>1000</v>
      </c>
      <c r="C16" s="2">
        <v>111662584.85299999</v>
      </c>
      <c r="D16" s="8">
        <v>107.56910434337996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71532-5678-4099-B5A0-63E102765D8A}">
  <dimension ref="A3:I22"/>
  <sheetViews>
    <sheetView zoomScale="70" workbookViewId="0">
      <selection activeCell="AQ70" sqref="AQ70"/>
    </sheetView>
  </sheetViews>
  <sheetFormatPr defaultRowHeight="14.4" x14ac:dyDescent="0.3"/>
  <cols>
    <col min="1" max="1" width="23.44140625" bestFit="1" customWidth="1"/>
    <col min="2" max="2" width="11.5546875" bestFit="1" customWidth="1"/>
    <col min="3" max="3" width="16.44140625" bestFit="1" customWidth="1"/>
    <col min="4" max="4" width="17.109375" bestFit="1" customWidth="1"/>
    <col min="5" max="5" width="23.33203125" bestFit="1" customWidth="1"/>
    <col min="6" max="6" width="17.5546875" bestFit="1" customWidth="1"/>
    <col min="7" max="7" width="10.44140625" bestFit="1" customWidth="1"/>
    <col min="8" max="8" width="14.21875" bestFit="1" customWidth="1"/>
    <col min="9" max="9" width="18.33203125" bestFit="1" customWidth="1"/>
  </cols>
  <sheetData>
    <row r="3" spans="1:9" x14ac:dyDescent="0.3">
      <c r="A3" s="6" t="s">
        <v>2790</v>
      </c>
      <c r="B3" t="s">
        <v>2794</v>
      </c>
      <c r="C3" t="s">
        <v>2795</v>
      </c>
      <c r="D3" t="s">
        <v>2796</v>
      </c>
      <c r="E3" t="s">
        <v>2797</v>
      </c>
      <c r="F3" t="s">
        <v>2798</v>
      </c>
      <c r="G3" t="s">
        <v>2799</v>
      </c>
      <c r="H3" t="s">
        <v>2800</v>
      </c>
      <c r="I3" t="s">
        <v>2801</v>
      </c>
    </row>
    <row r="4" spans="1:9" x14ac:dyDescent="0.3">
      <c r="A4" s="7" t="s">
        <v>80</v>
      </c>
      <c r="B4">
        <v>5</v>
      </c>
      <c r="C4">
        <v>7</v>
      </c>
      <c r="D4">
        <v>5</v>
      </c>
      <c r="E4">
        <v>5</v>
      </c>
      <c r="F4">
        <v>9</v>
      </c>
      <c r="G4">
        <v>6</v>
      </c>
      <c r="H4">
        <v>2</v>
      </c>
      <c r="I4">
        <v>39</v>
      </c>
    </row>
    <row r="5" spans="1:9" x14ac:dyDescent="0.3">
      <c r="A5" s="7" t="s">
        <v>146</v>
      </c>
      <c r="B5">
        <v>12</v>
      </c>
      <c r="C5">
        <v>13</v>
      </c>
      <c r="D5">
        <v>16</v>
      </c>
      <c r="E5">
        <v>9</v>
      </c>
      <c r="F5">
        <v>5</v>
      </c>
      <c r="G5">
        <v>8</v>
      </c>
      <c r="H5">
        <v>7</v>
      </c>
      <c r="I5">
        <v>70</v>
      </c>
    </row>
    <row r="6" spans="1:9" x14ac:dyDescent="0.3">
      <c r="A6" s="7" t="s">
        <v>316</v>
      </c>
      <c r="B6">
        <v>9</v>
      </c>
      <c r="C6">
        <v>11</v>
      </c>
      <c r="D6">
        <v>16</v>
      </c>
      <c r="E6">
        <v>9</v>
      </c>
      <c r="F6">
        <v>8</v>
      </c>
      <c r="G6">
        <v>5</v>
      </c>
      <c r="H6">
        <v>9</v>
      </c>
      <c r="I6">
        <v>67</v>
      </c>
    </row>
    <row r="7" spans="1:9" x14ac:dyDescent="0.3">
      <c r="A7" s="7" t="s">
        <v>189</v>
      </c>
      <c r="B7">
        <v>5</v>
      </c>
      <c r="C7">
        <v>4</v>
      </c>
      <c r="D7">
        <v>6</v>
      </c>
      <c r="E7">
        <v>7</v>
      </c>
      <c r="F7">
        <v>6</v>
      </c>
      <c r="G7">
        <v>6</v>
      </c>
      <c r="H7">
        <v>6</v>
      </c>
      <c r="I7">
        <v>40</v>
      </c>
    </row>
    <row r="8" spans="1:9" x14ac:dyDescent="0.3">
      <c r="A8" s="7" t="s">
        <v>201</v>
      </c>
      <c r="B8">
        <v>12</v>
      </c>
      <c r="C8">
        <v>9</v>
      </c>
      <c r="D8">
        <v>6</v>
      </c>
      <c r="E8">
        <v>12</v>
      </c>
      <c r="F8">
        <v>7</v>
      </c>
      <c r="G8">
        <v>8</v>
      </c>
      <c r="H8">
        <v>4</v>
      </c>
      <c r="I8">
        <v>58</v>
      </c>
    </row>
    <row r="9" spans="1:9" x14ac:dyDescent="0.3">
      <c r="A9" s="7" t="s">
        <v>256</v>
      </c>
      <c r="B9">
        <v>6</v>
      </c>
      <c r="C9">
        <v>8</v>
      </c>
      <c r="D9">
        <v>6</v>
      </c>
      <c r="E9">
        <v>14</v>
      </c>
      <c r="F9">
        <v>13</v>
      </c>
      <c r="G9">
        <v>10</v>
      </c>
      <c r="H9">
        <v>7</v>
      </c>
      <c r="I9">
        <v>64</v>
      </c>
    </row>
    <row r="10" spans="1:9" x14ac:dyDescent="0.3">
      <c r="A10" s="7" t="s">
        <v>184</v>
      </c>
      <c r="B10">
        <v>10</v>
      </c>
      <c r="C10">
        <v>5</v>
      </c>
      <c r="D10">
        <v>7</v>
      </c>
      <c r="E10">
        <v>11</v>
      </c>
      <c r="F10">
        <v>8</v>
      </c>
      <c r="G10">
        <v>3</v>
      </c>
      <c r="H10">
        <v>10</v>
      </c>
      <c r="I10">
        <v>54</v>
      </c>
    </row>
    <row r="11" spans="1:9" x14ac:dyDescent="0.3">
      <c r="A11" s="7" t="s">
        <v>169</v>
      </c>
      <c r="B11">
        <v>10</v>
      </c>
      <c r="C11">
        <v>9</v>
      </c>
      <c r="D11">
        <v>6</v>
      </c>
      <c r="E11">
        <v>4</v>
      </c>
      <c r="F11">
        <v>4</v>
      </c>
      <c r="G11">
        <v>3</v>
      </c>
      <c r="H11">
        <v>9</v>
      </c>
      <c r="I11">
        <v>45</v>
      </c>
    </row>
    <row r="12" spans="1:9" x14ac:dyDescent="0.3">
      <c r="A12" s="7" t="s">
        <v>64</v>
      </c>
      <c r="B12">
        <v>9</v>
      </c>
      <c r="C12">
        <v>10</v>
      </c>
      <c r="D12">
        <v>10</v>
      </c>
      <c r="E12">
        <v>13</v>
      </c>
      <c r="F12">
        <v>8</v>
      </c>
      <c r="G12">
        <v>7</v>
      </c>
      <c r="H12">
        <v>11</v>
      </c>
      <c r="I12">
        <v>68</v>
      </c>
    </row>
    <row r="13" spans="1:9" x14ac:dyDescent="0.3">
      <c r="A13" s="7" t="s">
        <v>95</v>
      </c>
      <c r="B13">
        <v>7</v>
      </c>
      <c r="C13">
        <v>3</v>
      </c>
      <c r="D13">
        <v>8</v>
      </c>
      <c r="E13">
        <v>7</v>
      </c>
      <c r="F13">
        <v>4</v>
      </c>
      <c r="G13">
        <v>11</v>
      </c>
      <c r="H13">
        <v>12</v>
      </c>
      <c r="I13">
        <v>52</v>
      </c>
    </row>
    <row r="14" spans="1:9" x14ac:dyDescent="0.3">
      <c r="A14" s="7" t="s">
        <v>211</v>
      </c>
      <c r="B14">
        <v>9</v>
      </c>
      <c r="C14">
        <v>11</v>
      </c>
      <c r="D14">
        <v>6</v>
      </c>
      <c r="E14">
        <v>12</v>
      </c>
      <c r="F14">
        <v>3</v>
      </c>
      <c r="G14">
        <v>12</v>
      </c>
      <c r="H14">
        <v>8</v>
      </c>
      <c r="I14">
        <v>61</v>
      </c>
    </row>
    <row r="15" spans="1:9" x14ac:dyDescent="0.3">
      <c r="A15" s="7" t="s">
        <v>118</v>
      </c>
      <c r="B15">
        <v>13</v>
      </c>
      <c r="C15">
        <v>7</v>
      </c>
      <c r="D15">
        <v>7</v>
      </c>
      <c r="E15">
        <v>6</v>
      </c>
      <c r="F15">
        <v>9</v>
      </c>
      <c r="G15">
        <v>6</v>
      </c>
      <c r="H15">
        <v>4</v>
      </c>
      <c r="I15">
        <v>52</v>
      </c>
    </row>
    <row r="16" spans="1:9" x14ac:dyDescent="0.3">
      <c r="A16" s="7" t="s">
        <v>156</v>
      </c>
      <c r="B16">
        <v>4</v>
      </c>
      <c r="C16">
        <v>5</v>
      </c>
      <c r="D16">
        <v>7</v>
      </c>
      <c r="E16">
        <v>8</v>
      </c>
      <c r="F16">
        <v>2</v>
      </c>
      <c r="G16">
        <v>6</v>
      </c>
      <c r="H16">
        <v>5</v>
      </c>
      <c r="I16">
        <v>37</v>
      </c>
    </row>
    <row r="17" spans="1:9" x14ac:dyDescent="0.3">
      <c r="A17" s="7" t="s">
        <v>135</v>
      </c>
      <c r="B17">
        <v>10</v>
      </c>
      <c r="C17">
        <v>11</v>
      </c>
      <c r="D17">
        <v>6</v>
      </c>
      <c r="E17">
        <v>4</v>
      </c>
      <c r="F17">
        <v>2</v>
      </c>
      <c r="G17">
        <v>12</v>
      </c>
      <c r="H17">
        <v>13</v>
      </c>
      <c r="I17">
        <v>58</v>
      </c>
    </row>
    <row r="18" spans="1:9" x14ac:dyDescent="0.3">
      <c r="A18" s="7" t="s">
        <v>73</v>
      </c>
      <c r="B18">
        <v>9</v>
      </c>
      <c r="C18">
        <v>16</v>
      </c>
      <c r="D18">
        <v>10</v>
      </c>
      <c r="E18">
        <v>10</v>
      </c>
      <c r="F18">
        <v>12</v>
      </c>
      <c r="G18">
        <v>5</v>
      </c>
      <c r="H18">
        <v>9</v>
      </c>
      <c r="I18">
        <v>71</v>
      </c>
    </row>
    <row r="19" spans="1:9" x14ac:dyDescent="0.3">
      <c r="A19" s="7" t="s">
        <v>88</v>
      </c>
      <c r="B19">
        <v>12</v>
      </c>
      <c r="C19">
        <v>8</v>
      </c>
      <c r="D19">
        <v>6</v>
      </c>
      <c r="E19">
        <v>8</v>
      </c>
      <c r="F19">
        <v>4</v>
      </c>
      <c r="G19">
        <v>10</v>
      </c>
      <c r="H19">
        <v>7</v>
      </c>
      <c r="I19">
        <v>55</v>
      </c>
    </row>
    <row r="20" spans="1:9" x14ac:dyDescent="0.3">
      <c r="A20" s="7" t="s">
        <v>324</v>
      </c>
      <c r="B20">
        <v>5</v>
      </c>
      <c r="C20">
        <v>7</v>
      </c>
      <c r="D20">
        <v>6</v>
      </c>
      <c r="E20">
        <v>4</v>
      </c>
      <c r="F20">
        <v>9</v>
      </c>
      <c r="G20">
        <v>6</v>
      </c>
      <c r="H20">
        <v>9</v>
      </c>
      <c r="I20">
        <v>46</v>
      </c>
    </row>
    <row r="21" spans="1:9" x14ac:dyDescent="0.3">
      <c r="A21" s="7" t="s">
        <v>222</v>
      </c>
      <c r="B21">
        <v>8</v>
      </c>
      <c r="C21">
        <v>12</v>
      </c>
      <c r="D21">
        <v>9</v>
      </c>
      <c r="E21">
        <v>9</v>
      </c>
      <c r="F21">
        <v>12</v>
      </c>
      <c r="G21">
        <v>8</v>
      </c>
      <c r="H21">
        <v>5</v>
      </c>
      <c r="I21">
        <v>63</v>
      </c>
    </row>
    <row r="22" spans="1:9" x14ac:dyDescent="0.3">
      <c r="A22" s="7" t="s">
        <v>2791</v>
      </c>
      <c r="B22">
        <v>155</v>
      </c>
      <c r="C22">
        <v>156</v>
      </c>
      <c r="D22">
        <v>143</v>
      </c>
      <c r="E22">
        <v>152</v>
      </c>
      <c r="F22">
        <v>125</v>
      </c>
      <c r="G22">
        <v>132</v>
      </c>
      <c r="H22">
        <v>137</v>
      </c>
      <c r="I22">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45C1-F8F3-4868-9859-D5F80231F0A1}">
  <dimension ref="A3:C22"/>
  <sheetViews>
    <sheetView zoomScaleNormal="100" workbookViewId="0">
      <selection activeCell="BN21" sqref="BN21"/>
    </sheetView>
  </sheetViews>
  <sheetFormatPr defaultRowHeight="14.4" x14ac:dyDescent="0.3"/>
  <cols>
    <col min="1" max="1" width="21.33203125" bestFit="1" customWidth="1"/>
    <col min="2" max="2" width="25" bestFit="1" customWidth="1"/>
    <col min="3" max="3" width="27.6640625" bestFit="1" customWidth="1"/>
  </cols>
  <sheetData>
    <row r="3" spans="1:3" x14ac:dyDescent="0.3">
      <c r="A3" s="6" t="s">
        <v>2790</v>
      </c>
      <c r="B3" t="s">
        <v>2802</v>
      </c>
      <c r="C3" t="s">
        <v>2803</v>
      </c>
    </row>
    <row r="4" spans="1:3" x14ac:dyDescent="0.3">
      <c r="A4" s="7" t="s">
        <v>80</v>
      </c>
      <c r="B4">
        <v>26</v>
      </c>
      <c r="C4">
        <v>13</v>
      </c>
    </row>
    <row r="5" spans="1:3" x14ac:dyDescent="0.3">
      <c r="A5" s="7" t="s">
        <v>146</v>
      </c>
      <c r="B5">
        <v>49</v>
      </c>
      <c r="C5">
        <v>21</v>
      </c>
    </row>
    <row r="6" spans="1:3" x14ac:dyDescent="0.3">
      <c r="A6" s="7" t="s">
        <v>316</v>
      </c>
      <c r="B6">
        <v>44</v>
      </c>
      <c r="C6">
        <v>23</v>
      </c>
    </row>
    <row r="7" spans="1:3" x14ac:dyDescent="0.3">
      <c r="A7" s="7" t="s">
        <v>189</v>
      </c>
      <c r="B7">
        <v>25</v>
      </c>
      <c r="C7">
        <v>15</v>
      </c>
    </row>
    <row r="8" spans="1:3" x14ac:dyDescent="0.3">
      <c r="A8" s="7" t="s">
        <v>201</v>
      </c>
      <c r="B8">
        <v>41</v>
      </c>
      <c r="C8">
        <v>17</v>
      </c>
    </row>
    <row r="9" spans="1:3" x14ac:dyDescent="0.3">
      <c r="A9" s="7" t="s">
        <v>256</v>
      </c>
      <c r="B9">
        <v>34</v>
      </c>
      <c r="C9">
        <v>30</v>
      </c>
    </row>
    <row r="10" spans="1:3" x14ac:dyDescent="0.3">
      <c r="A10" s="7" t="s">
        <v>184</v>
      </c>
      <c r="B10">
        <v>31</v>
      </c>
      <c r="C10">
        <v>23</v>
      </c>
    </row>
    <row r="11" spans="1:3" x14ac:dyDescent="0.3">
      <c r="A11" s="7" t="s">
        <v>169</v>
      </c>
      <c r="B11">
        <v>21</v>
      </c>
      <c r="C11">
        <v>24</v>
      </c>
    </row>
    <row r="12" spans="1:3" x14ac:dyDescent="0.3">
      <c r="A12" s="7" t="s">
        <v>64</v>
      </c>
      <c r="B12">
        <v>51</v>
      </c>
      <c r="C12">
        <v>17</v>
      </c>
    </row>
    <row r="13" spans="1:3" x14ac:dyDescent="0.3">
      <c r="A13" s="7" t="s">
        <v>95</v>
      </c>
      <c r="B13">
        <v>34</v>
      </c>
      <c r="C13">
        <v>18</v>
      </c>
    </row>
    <row r="14" spans="1:3" x14ac:dyDescent="0.3">
      <c r="A14" s="7" t="s">
        <v>211</v>
      </c>
      <c r="B14">
        <v>38</v>
      </c>
      <c r="C14">
        <v>23</v>
      </c>
    </row>
    <row r="15" spans="1:3" x14ac:dyDescent="0.3">
      <c r="A15" s="7" t="s">
        <v>118</v>
      </c>
      <c r="B15">
        <v>32</v>
      </c>
      <c r="C15">
        <v>20</v>
      </c>
    </row>
    <row r="16" spans="1:3" x14ac:dyDescent="0.3">
      <c r="A16" s="7" t="s">
        <v>156</v>
      </c>
      <c r="B16">
        <v>27</v>
      </c>
      <c r="C16">
        <v>10</v>
      </c>
    </row>
    <row r="17" spans="1:3" x14ac:dyDescent="0.3">
      <c r="A17" s="7" t="s">
        <v>135</v>
      </c>
      <c r="B17">
        <v>41</v>
      </c>
      <c r="C17">
        <v>17</v>
      </c>
    </row>
    <row r="18" spans="1:3" x14ac:dyDescent="0.3">
      <c r="A18" s="7" t="s">
        <v>73</v>
      </c>
      <c r="B18">
        <v>49</v>
      </c>
      <c r="C18">
        <v>22</v>
      </c>
    </row>
    <row r="19" spans="1:3" x14ac:dyDescent="0.3">
      <c r="A19" s="7" t="s">
        <v>88</v>
      </c>
      <c r="B19">
        <v>38</v>
      </c>
      <c r="C19">
        <v>17</v>
      </c>
    </row>
    <row r="20" spans="1:3" x14ac:dyDescent="0.3">
      <c r="A20" s="7" t="s">
        <v>324</v>
      </c>
      <c r="B20">
        <v>32</v>
      </c>
      <c r="C20">
        <v>14</v>
      </c>
    </row>
    <row r="21" spans="1:3" x14ac:dyDescent="0.3">
      <c r="A21" s="7" t="s">
        <v>222</v>
      </c>
      <c r="B21">
        <v>39</v>
      </c>
      <c r="C21">
        <v>24</v>
      </c>
    </row>
    <row r="22" spans="1:3" x14ac:dyDescent="0.3">
      <c r="A22" s="7" t="s">
        <v>2791</v>
      </c>
      <c r="B22">
        <v>652</v>
      </c>
      <c r="C22">
        <v>348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8343-6F72-415E-8EE3-E6D6DC0C8CC5}">
  <dimension ref="A3:C22"/>
  <sheetViews>
    <sheetView topLeftCell="A2" zoomScale="91" workbookViewId="0">
      <selection activeCell="AK55" sqref="AK55"/>
    </sheetView>
  </sheetViews>
  <sheetFormatPr defaultRowHeight="14.4" x14ac:dyDescent="0.3"/>
  <cols>
    <col min="1" max="1" width="22.44140625" bestFit="1" customWidth="1"/>
    <col min="2" max="2" width="25.33203125" bestFit="1" customWidth="1"/>
    <col min="3" max="3" width="27.6640625" bestFit="1" customWidth="1"/>
  </cols>
  <sheetData>
    <row r="3" spans="1:3" x14ac:dyDescent="0.3">
      <c r="A3" s="6" t="s">
        <v>2790</v>
      </c>
      <c r="B3" t="s">
        <v>2804</v>
      </c>
      <c r="C3" t="s">
        <v>2805</v>
      </c>
    </row>
    <row r="4" spans="1:3" x14ac:dyDescent="0.3">
      <c r="A4" s="7" t="s">
        <v>80</v>
      </c>
      <c r="B4">
        <v>7</v>
      </c>
      <c r="C4">
        <v>32</v>
      </c>
    </row>
    <row r="5" spans="1:3" x14ac:dyDescent="0.3">
      <c r="A5" s="7" t="s">
        <v>146</v>
      </c>
      <c r="B5">
        <v>22</v>
      </c>
      <c r="C5">
        <v>48</v>
      </c>
    </row>
    <row r="6" spans="1:3" x14ac:dyDescent="0.3">
      <c r="A6" s="7" t="s">
        <v>316</v>
      </c>
      <c r="B6">
        <v>20</v>
      </c>
      <c r="C6">
        <v>47</v>
      </c>
    </row>
    <row r="7" spans="1:3" x14ac:dyDescent="0.3">
      <c r="A7" s="7" t="s">
        <v>189</v>
      </c>
      <c r="B7">
        <v>17</v>
      </c>
      <c r="C7">
        <v>23</v>
      </c>
    </row>
    <row r="8" spans="1:3" x14ac:dyDescent="0.3">
      <c r="A8" s="7" t="s">
        <v>201</v>
      </c>
      <c r="B8">
        <v>14</v>
      </c>
      <c r="C8">
        <v>44</v>
      </c>
    </row>
    <row r="9" spans="1:3" x14ac:dyDescent="0.3">
      <c r="A9" s="7" t="s">
        <v>256</v>
      </c>
      <c r="B9">
        <v>18</v>
      </c>
      <c r="C9">
        <v>46</v>
      </c>
    </row>
    <row r="10" spans="1:3" x14ac:dyDescent="0.3">
      <c r="A10" s="7" t="s">
        <v>184</v>
      </c>
      <c r="B10">
        <v>18</v>
      </c>
      <c r="C10">
        <v>36</v>
      </c>
    </row>
    <row r="11" spans="1:3" x14ac:dyDescent="0.3">
      <c r="A11" s="7" t="s">
        <v>169</v>
      </c>
      <c r="B11">
        <v>9</v>
      </c>
      <c r="C11">
        <v>36</v>
      </c>
    </row>
    <row r="12" spans="1:3" x14ac:dyDescent="0.3">
      <c r="A12" s="7" t="s">
        <v>64</v>
      </c>
      <c r="B12">
        <v>17</v>
      </c>
      <c r="C12">
        <v>51</v>
      </c>
    </row>
    <row r="13" spans="1:3" x14ac:dyDescent="0.3">
      <c r="A13" s="7" t="s">
        <v>95</v>
      </c>
      <c r="B13">
        <v>6</v>
      </c>
      <c r="C13">
        <v>46</v>
      </c>
    </row>
    <row r="14" spans="1:3" x14ac:dyDescent="0.3">
      <c r="A14" s="7" t="s">
        <v>211</v>
      </c>
      <c r="B14">
        <v>22</v>
      </c>
      <c r="C14">
        <v>39</v>
      </c>
    </row>
    <row r="15" spans="1:3" x14ac:dyDescent="0.3">
      <c r="A15" s="7" t="s">
        <v>118</v>
      </c>
      <c r="B15">
        <v>14</v>
      </c>
      <c r="C15">
        <v>38</v>
      </c>
    </row>
    <row r="16" spans="1:3" x14ac:dyDescent="0.3">
      <c r="A16" s="7" t="s">
        <v>156</v>
      </c>
      <c r="B16">
        <v>10</v>
      </c>
      <c r="C16">
        <v>27</v>
      </c>
    </row>
    <row r="17" spans="1:3" x14ac:dyDescent="0.3">
      <c r="A17" s="7" t="s">
        <v>135</v>
      </c>
      <c r="B17">
        <v>15</v>
      </c>
      <c r="C17">
        <v>43</v>
      </c>
    </row>
    <row r="18" spans="1:3" x14ac:dyDescent="0.3">
      <c r="A18" s="7" t="s">
        <v>73</v>
      </c>
      <c r="B18">
        <v>14</v>
      </c>
      <c r="C18">
        <v>57</v>
      </c>
    </row>
    <row r="19" spans="1:3" x14ac:dyDescent="0.3">
      <c r="A19" s="7" t="s">
        <v>88</v>
      </c>
      <c r="B19">
        <v>11</v>
      </c>
      <c r="C19">
        <v>44</v>
      </c>
    </row>
    <row r="20" spans="1:3" x14ac:dyDescent="0.3">
      <c r="A20" s="7" t="s">
        <v>324</v>
      </c>
      <c r="B20">
        <v>7</v>
      </c>
      <c r="C20">
        <v>39</v>
      </c>
    </row>
    <row r="21" spans="1:3" x14ac:dyDescent="0.3">
      <c r="A21" s="7" t="s">
        <v>222</v>
      </c>
      <c r="B21">
        <v>16</v>
      </c>
      <c r="C21">
        <v>47</v>
      </c>
    </row>
    <row r="22" spans="1:3" x14ac:dyDescent="0.3">
      <c r="A22" s="7" t="s">
        <v>2791</v>
      </c>
      <c r="B22">
        <v>257</v>
      </c>
      <c r="C22">
        <v>743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Festival Bike Sales</vt:lpstr>
      <vt:lpstr>Dashboard</vt:lpstr>
      <vt:lpstr>Sales By Festival</vt:lpstr>
      <vt:lpstr>Revenue By Branch</vt:lpstr>
      <vt:lpstr>Delivery By Sales</vt:lpstr>
      <vt:lpstr>Sales Shear By Bike Category</vt:lpstr>
      <vt:lpstr>Revenue By Sales</vt:lpstr>
      <vt:lpstr>Sheet4</vt:lpstr>
      <vt:lpstr>Sheet1</vt:lpstr>
      <vt:lpstr>Total Buyers Bike Model</vt:lpstr>
      <vt:lpstr>Sheet16</vt:lpstr>
      <vt:lpstr>Exchange Bike Using Bike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Varsha Chaudhari</cp:lastModifiedBy>
  <cp:revision>5</cp:revision>
  <cp:lastPrinted>2026-08-09T19:30:27Z</cp:lastPrinted>
  <dcterms:created xsi:type="dcterms:W3CDTF">2026-08-06T05:09:33Z</dcterms:created>
  <dcterms:modified xsi:type="dcterms:W3CDTF">2026-09-10T10:13:55Z</dcterms:modified>
  <dc:language>en-US</dc:language>
</cp:coreProperties>
</file>